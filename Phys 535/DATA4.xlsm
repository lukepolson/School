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kep\Documents\videos\School\Phys 535\"/>
    </mc:Choice>
  </mc:AlternateContent>
  <xr:revisionPtr revIDLastSave="0" documentId="8_{FE3C64D1-6820-41C7-ACD5-54F5F5D0B067}" xr6:coauthVersionLast="47" xr6:coauthVersionMax="47" xr10:uidLastSave="{00000000-0000-0000-0000-000000000000}"/>
  <bookViews>
    <workbookView xWindow="3351" yWindow="3531" windowWidth="25312" windowHeight="13998" tabRatio="863" activeTab="3"/>
  </bookViews>
  <sheets>
    <sheet name="PP Line" sheetId="71" r:id="rId1"/>
    <sheet name="PP Plane" sheetId="66" r:id="rId2"/>
    <sheet name="PP Volume" sheetId="72" r:id="rId3"/>
    <sheet name="Ir-192 HDR" sheetId="62" r:id="rId4"/>
    <sheet name="Ir-192 LDR" sheetId="60" r:id="rId5"/>
    <sheet name="I-125" sheetId="59" r:id="rId6"/>
    <sheet name="Pd-103" sheetId="58" r:id="rId7"/>
  </sheets>
  <functionGroups builtInGroupCount="19"/>
  <definedNames>
    <definedName name="OLE_LINK1" localSheetId="2">'PP Volume'!$Y$30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62" l="1"/>
  <c r="F5" i="60"/>
  <c r="F5" i="59"/>
  <c r="F5" i="58"/>
  <c r="J16" i="62"/>
  <c r="J16" i="59"/>
  <c r="I16" i="59"/>
  <c r="J16" i="58"/>
  <c r="M10" i="72"/>
  <c r="AC11" i="66"/>
  <c r="K16" i="58"/>
  <c r="J16" i="60"/>
  <c r="I16" i="58"/>
  <c r="N10" i="72"/>
  <c r="AD11" i="71"/>
  <c r="K16" i="62"/>
  <c r="K16" i="60"/>
  <c r="K16" i="59"/>
  <c r="AE11" i="66"/>
  <c r="AC11" i="71"/>
  <c r="L16" i="59"/>
  <c r="L16" i="58"/>
  <c r="AD11" i="66"/>
  <c r="AB11" i="71"/>
  <c r="O10" i="72"/>
</calcChain>
</file>

<file path=xl/sharedStrings.xml><?xml version="1.0" encoding="utf-8"?>
<sst xmlns="http://schemas.openxmlformats.org/spreadsheetml/2006/main" count="275" uniqueCount="150">
  <si>
    <t>alter violet cells only</t>
  </si>
  <si>
    <t>Interpolate</t>
  </si>
  <si>
    <t>Pd-103</t>
  </si>
  <si>
    <t xml:space="preserve"> (Theragenics model 200)</t>
  </si>
  <si>
    <t>L</t>
  </si>
  <si>
    <r>
      <t>cGy hr</t>
    </r>
    <r>
      <rPr>
        <vertAlign val="superscript"/>
        <sz val="10"/>
        <rFont val="Arial"/>
        <family val="2"/>
      </rPr>
      <t>-1</t>
    </r>
    <r>
      <rPr>
        <sz val="10"/>
        <rFont val="Arial"/>
      </rPr>
      <t xml:space="preserve"> U</t>
    </r>
    <r>
      <rPr>
        <vertAlign val="superscript"/>
        <sz val="10"/>
        <rFont val="Arial"/>
        <family val="2"/>
      </rPr>
      <t>-1</t>
    </r>
  </si>
  <si>
    <t>U per mCi</t>
  </si>
  <si>
    <t>half-life</t>
  </si>
  <si>
    <t>days</t>
  </si>
  <si>
    <t>l</t>
  </si>
  <si>
    <t>Radial dose  function</t>
  </si>
  <si>
    <t>r (cm)</t>
  </si>
  <si>
    <t>source dimensions (mm)</t>
  </si>
  <si>
    <t xml:space="preserve">diameter </t>
  </si>
  <si>
    <t>physical length</t>
  </si>
  <si>
    <t>active length</t>
  </si>
  <si>
    <t>Anisotropy functions</t>
  </si>
  <si>
    <r>
      <t>hours</t>
    </r>
    <r>
      <rPr>
        <vertAlign val="superscript"/>
        <sz val="10"/>
        <rFont val="Arial"/>
        <family val="2"/>
      </rPr>
      <t>-1</t>
    </r>
  </si>
  <si>
    <t>Radial dose  functions</t>
  </si>
  <si>
    <r>
      <rPr>
        <b/>
        <i/>
        <sz val="12"/>
        <rFont val="Arial"/>
        <family val="2"/>
      </rPr>
      <t>g</t>
    </r>
    <r>
      <rPr>
        <b/>
        <i/>
        <vertAlign val="subscript"/>
        <sz val="12"/>
        <rFont val="Arial"/>
        <family val="2"/>
      </rPr>
      <t>P</t>
    </r>
    <r>
      <rPr>
        <b/>
        <sz val="12"/>
        <rFont val="Arial"/>
        <family val="2"/>
      </rPr>
      <t xml:space="preserve">( </t>
    </r>
    <r>
      <rPr>
        <b/>
        <i/>
        <sz val="12"/>
        <rFont val="Arial"/>
        <family val="2"/>
      </rPr>
      <t xml:space="preserve">r </t>
    </r>
    <r>
      <rPr>
        <b/>
        <sz val="12"/>
        <rFont val="Arial"/>
        <family val="2"/>
      </rPr>
      <t xml:space="preserve">) </t>
    </r>
  </si>
  <si>
    <t>Brachytherapy Data - TG43 parameters</t>
  </si>
  <si>
    <r>
      <rPr>
        <b/>
        <i/>
        <sz val="12"/>
        <rFont val="Arial"/>
        <family val="2"/>
      </rPr>
      <t>g</t>
    </r>
    <r>
      <rPr>
        <b/>
        <i/>
        <vertAlign val="subscript"/>
        <sz val="12"/>
        <rFont val="Arial"/>
        <family val="2"/>
      </rPr>
      <t>L</t>
    </r>
    <r>
      <rPr>
        <b/>
        <sz val="12"/>
        <rFont val="Arial"/>
        <family val="2"/>
      </rPr>
      <t xml:space="preserve">( </t>
    </r>
    <r>
      <rPr>
        <b/>
        <i/>
        <sz val="12"/>
        <rFont val="Arial"/>
        <family val="2"/>
      </rPr>
      <t xml:space="preserve">r </t>
    </r>
    <r>
      <rPr>
        <b/>
        <sz val="12"/>
        <rFont val="Arial"/>
        <family val="2"/>
      </rPr>
      <t xml:space="preserve">) </t>
    </r>
  </si>
  <si>
    <r>
      <rPr>
        <b/>
        <i/>
        <sz val="10"/>
        <rFont val="Arial"/>
        <family val="2"/>
      </rPr>
      <t>g</t>
    </r>
    <r>
      <rPr>
        <b/>
        <i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 xml:space="preserve">( </t>
    </r>
    <r>
      <rPr>
        <b/>
        <i/>
        <sz val="10"/>
        <rFont val="Arial"/>
        <family val="2"/>
      </rPr>
      <t xml:space="preserve">r </t>
    </r>
    <r>
      <rPr>
        <b/>
        <sz val="10"/>
        <rFont val="Arial"/>
        <family val="2"/>
      </rPr>
      <t xml:space="preserve">) </t>
    </r>
  </si>
  <si>
    <r>
      <rPr>
        <b/>
        <i/>
        <sz val="10"/>
        <rFont val="Arial"/>
        <family val="2"/>
      </rPr>
      <t>g</t>
    </r>
    <r>
      <rPr>
        <b/>
        <i/>
        <vertAlign val="subscript"/>
        <sz val="10"/>
        <rFont val="Arial"/>
        <family val="2"/>
      </rPr>
      <t>L</t>
    </r>
    <r>
      <rPr>
        <b/>
        <sz val="10"/>
        <rFont val="Arial"/>
        <family val="2"/>
      </rPr>
      <t xml:space="preserve">( </t>
    </r>
    <r>
      <rPr>
        <b/>
        <i/>
        <sz val="10"/>
        <rFont val="Arial"/>
        <family val="2"/>
      </rPr>
      <t xml:space="preserve">r </t>
    </r>
    <r>
      <rPr>
        <b/>
        <sz val="10"/>
        <rFont val="Arial"/>
        <family val="2"/>
      </rPr>
      <t xml:space="preserve">) </t>
    </r>
  </si>
  <si>
    <r>
      <rPr>
        <b/>
        <i/>
        <sz val="12"/>
        <rFont val="Arial"/>
        <family val="2"/>
      </rPr>
      <t>r</t>
    </r>
    <r>
      <rPr>
        <b/>
        <sz val="12"/>
        <rFont val="Arial"/>
        <family val="2"/>
      </rPr>
      <t xml:space="preserve"> (cm)</t>
    </r>
  </si>
  <si>
    <r>
      <rPr>
        <b/>
        <i/>
        <sz val="12"/>
        <rFont val="Arial"/>
        <family val="2"/>
      </rPr>
      <t>F</t>
    </r>
    <r>
      <rPr>
        <b/>
        <sz val="12"/>
        <rFont val="Arial"/>
        <family val="2"/>
      </rPr>
      <t>(</t>
    </r>
    <r>
      <rPr>
        <b/>
        <i/>
        <sz val="12"/>
        <rFont val="Arial"/>
        <family val="2"/>
      </rPr>
      <t>r</t>
    </r>
    <r>
      <rPr>
        <b/>
        <sz val="12"/>
        <rFont val="Arial"/>
        <family val="2"/>
      </rPr>
      <t>,</t>
    </r>
    <r>
      <rPr>
        <b/>
        <i/>
        <sz val="12"/>
        <rFont val="Symbol"/>
        <family val="1"/>
        <charset val="2"/>
      </rPr>
      <t>q</t>
    </r>
    <r>
      <rPr>
        <b/>
        <sz val="12"/>
        <rFont val="Arial"/>
        <family val="2"/>
      </rPr>
      <t>)</t>
    </r>
  </si>
  <si>
    <r>
      <rPr>
        <b/>
        <i/>
        <sz val="12"/>
        <rFont val="Symbol"/>
        <family val="1"/>
        <charset val="2"/>
      </rPr>
      <t>q</t>
    </r>
    <r>
      <rPr>
        <b/>
        <sz val="12"/>
        <rFont val="Symbol"/>
        <family val="1"/>
        <charset val="2"/>
      </rPr>
      <t xml:space="preserve"> </t>
    </r>
    <r>
      <rPr>
        <b/>
        <sz val="12"/>
        <rFont val="Arial"/>
        <family val="2"/>
      </rPr>
      <t>(deg)</t>
    </r>
  </si>
  <si>
    <r>
      <t>j</t>
    </r>
    <r>
      <rPr>
        <b/>
        <vertAlign val="subscript"/>
        <sz val="12"/>
        <rFont val="Arial"/>
        <family val="2"/>
      </rPr>
      <t>an</t>
    </r>
    <r>
      <rPr>
        <b/>
        <sz val="12"/>
        <rFont val="Arial"/>
        <family val="2"/>
      </rPr>
      <t>(</t>
    </r>
    <r>
      <rPr>
        <b/>
        <i/>
        <sz val="12"/>
        <rFont val="Arial"/>
        <family val="2"/>
      </rPr>
      <t>r</t>
    </r>
    <r>
      <rPr>
        <b/>
        <sz val="12"/>
        <rFont val="Arial"/>
        <family val="2"/>
      </rPr>
      <t>)</t>
    </r>
  </si>
  <si>
    <r>
      <t>j</t>
    </r>
    <r>
      <rPr>
        <b/>
        <vertAlign val="subscript"/>
        <sz val="10"/>
        <rFont val="Arial"/>
        <family val="2"/>
      </rPr>
      <t>an</t>
    </r>
    <r>
      <rPr>
        <b/>
        <sz val="10"/>
        <rFont val="Arial"/>
        <family val="2"/>
      </rPr>
      <t xml:space="preserve">( </t>
    </r>
    <r>
      <rPr>
        <b/>
        <i/>
        <sz val="10"/>
        <rFont val="Arial"/>
        <family val="2"/>
      </rPr>
      <t xml:space="preserve">r </t>
    </r>
    <r>
      <rPr>
        <b/>
        <sz val="10"/>
        <rFont val="Arial"/>
        <family val="2"/>
      </rPr>
      <t>)</t>
    </r>
  </si>
  <si>
    <r>
      <rPr>
        <b/>
        <i/>
        <sz val="10"/>
        <rFont val="Symbol"/>
        <family val="1"/>
        <charset val="2"/>
      </rPr>
      <t>q</t>
    </r>
    <r>
      <rPr>
        <b/>
        <sz val="10"/>
        <rFont val="Arial"/>
        <family val="2"/>
      </rPr>
      <t xml:space="preserve"> (deg)</t>
    </r>
  </si>
  <si>
    <r>
      <t xml:space="preserve">r </t>
    </r>
    <r>
      <rPr>
        <b/>
        <sz val="10"/>
        <rFont val="Arial"/>
        <family val="2"/>
      </rPr>
      <t>(cm)</t>
    </r>
  </si>
  <si>
    <r>
      <rPr>
        <b/>
        <i/>
        <sz val="10"/>
        <rFont val="Arial"/>
        <family val="2"/>
      </rPr>
      <t>F</t>
    </r>
    <r>
      <rPr>
        <b/>
        <sz val="10"/>
        <rFont val="Arial"/>
        <family val="2"/>
      </rPr>
      <t xml:space="preserve">( </t>
    </r>
    <r>
      <rPr>
        <b/>
        <i/>
        <sz val="10"/>
        <rFont val="Arial"/>
        <family val="2"/>
      </rPr>
      <t xml:space="preserve">r, </t>
    </r>
    <r>
      <rPr>
        <b/>
        <i/>
        <sz val="10"/>
        <rFont val="Symbol"/>
        <family val="1"/>
        <charset val="2"/>
      </rPr>
      <t>q</t>
    </r>
    <r>
      <rPr>
        <b/>
        <i/>
        <sz val="10"/>
        <rFont val="Arial"/>
        <family val="2"/>
      </rPr>
      <t xml:space="preserve"> </t>
    </r>
    <r>
      <rPr>
        <b/>
        <sz val="10"/>
        <rFont val="Arial"/>
        <family val="2"/>
      </rPr>
      <t xml:space="preserve">) </t>
    </r>
  </si>
  <si>
    <t>I-125</t>
  </si>
  <si>
    <t xml:space="preserve"> (Oncura 6711)</t>
  </si>
  <si>
    <t>Ir-192</t>
  </si>
  <si>
    <t xml:space="preserve"> (Best Industries 8101)</t>
  </si>
  <si>
    <t>Anisotropy function</t>
  </si>
  <si>
    <t>Nucletron mHDR-v2</t>
  </si>
  <si>
    <t>(cable)</t>
  </si>
  <si>
    <r>
      <t xml:space="preserve">(cable end is at </t>
    </r>
    <r>
      <rPr>
        <sz val="10"/>
        <rFont val="Symbol"/>
        <family val="1"/>
        <charset val="2"/>
      </rPr>
      <t>q</t>
    </r>
    <r>
      <rPr>
        <sz val="10"/>
        <rFont val="Arial"/>
        <family val="2"/>
      </rPr>
      <t>=180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>)</t>
    </r>
  </si>
  <si>
    <t xml:space="preserve">physical diameter </t>
  </si>
  <si>
    <t>Ir-192  (mCi-hr)</t>
  </si>
  <si>
    <t>1.0 cm</t>
  </si>
  <si>
    <t>1.5 cm</t>
  </si>
  <si>
    <t>2.0 cm</t>
  </si>
  <si>
    <t>2.5 cm</t>
  </si>
  <si>
    <t>Area</t>
  </si>
  <si>
    <r>
      <t>Volume (cm</t>
    </r>
    <r>
      <rPr>
        <b/>
        <vertAlign val="superscript"/>
        <sz val="10"/>
        <color indexed="8"/>
        <rFont val="Arial"/>
        <family val="2"/>
      </rPr>
      <t>3</t>
    </r>
    <r>
      <rPr>
        <b/>
        <sz val="10"/>
        <color indexed="8"/>
        <rFont val="Arial"/>
        <family val="2"/>
      </rPr>
      <t>)</t>
    </r>
  </si>
  <si>
    <t>Volume</t>
  </si>
  <si>
    <r>
      <t>Area (cm</t>
    </r>
    <r>
      <rPr>
        <b/>
        <vertAlign val="superscript"/>
        <sz val="10"/>
        <color indexed="8"/>
        <rFont val="Arial"/>
        <family val="2"/>
      </rPr>
      <t>2</t>
    </r>
    <r>
      <rPr>
        <b/>
        <sz val="10"/>
        <color indexed="8"/>
        <rFont val="Arial"/>
        <family val="2"/>
      </rPr>
      <t>)</t>
    </r>
  </si>
  <si>
    <r>
      <rPr>
        <b/>
        <sz val="10"/>
        <color indexed="10"/>
        <rFont val="Arial"/>
        <family val="2"/>
      </rPr>
      <t>*</t>
    </r>
    <r>
      <rPr>
        <sz val="10"/>
        <rFont val="Arial"/>
        <family val="2"/>
      </rPr>
      <t xml:space="preserve"> 0.5 mm Pt filtration</t>
    </r>
  </si>
  <si>
    <t>h</t>
  </si>
  <si>
    <t>Ra-226</t>
  </si>
  <si>
    <t>Cs-137</t>
  </si>
  <si>
    <t>d/h</t>
  </si>
  <si>
    <t>outer circle:</t>
  </si>
  <si>
    <t>inner circle:</t>
  </si>
  <si>
    <t>at centre:</t>
  </si>
  <si>
    <t>1-3</t>
  </si>
  <si>
    <t>3-6</t>
  </si>
  <si>
    <t xml:space="preserve">Distribution Rules  for Planar moulds and implants </t>
  </si>
  <si>
    <t>a/h</t>
  </si>
  <si>
    <t>---</t>
  </si>
  <si>
    <t>Circular Moulds treating diameter d</t>
  </si>
  <si>
    <r>
      <t>relative strength of additional lines</t>
    </r>
    <r>
      <rPr>
        <sz val="9"/>
        <rFont val="Arial"/>
        <family val="2"/>
      </rPr>
      <t/>
    </r>
  </si>
  <si>
    <t xml:space="preserve">  r  </t>
  </si>
  <si>
    <r>
      <t xml:space="preserve">(line spacing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2h)</t>
    </r>
  </si>
  <si>
    <t>all:</t>
  </si>
  <si>
    <r>
      <t xml:space="preserve">  distance between active ends</t>
    </r>
    <r>
      <rPr>
        <sz val="11"/>
        <rFont val="Calibri"/>
        <family val="2"/>
      </rPr>
      <t>≤</t>
    </r>
    <r>
      <rPr>
        <i/>
        <sz val="11"/>
        <rFont val="Arial"/>
        <family val="2"/>
      </rPr>
      <t xml:space="preserve"> h</t>
    </r>
  </si>
  <si>
    <t>lines or linear arrays of sources around perimeter of rectangle + inside lines (along dimension b) as per table</t>
  </si>
  <si>
    <t>lines in addition to perimeter lines</t>
  </si>
  <si>
    <r>
      <rPr>
        <sz val="9"/>
        <rFont val="Symbol"/>
        <family val="1"/>
        <charset val="2"/>
      </rPr>
      <t xml:space="preserve"> r</t>
    </r>
    <r>
      <rPr>
        <sz val="9"/>
        <rFont val="Arial"/>
        <family val="2"/>
      </rPr>
      <t xml:space="preserve">  = strength of perimeter lines</t>
    </r>
  </si>
  <si>
    <t>sources evenly spaced on outer circle of diameter d, inner circle of diameter d/2, and at the centre</t>
  </si>
  <si>
    <t>0-25</t>
  </si>
  <si>
    <t>25-100</t>
  </si>
  <si>
    <t>&gt;100</t>
  </si>
  <si>
    <r>
      <t xml:space="preserve">Rectangular Moulds treating area = a (short side) </t>
    </r>
    <r>
      <rPr>
        <b/>
        <sz val="11"/>
        <rFont val="Calibri"/>
        <family val="2"/>
      </rPr>
      <t>×</t>
    </r>
    <r>
      <rPr>
        <b/>
        <sz val="11"/>
        <rFont val="Arial"/>
        <family val="2"/>
      </rPr>
      <t xml:space="preserve"> b (long side)</t>
    </r>
  </si>
  <si>
    <t>Fraction on Periphery</t>
  </si>
  <si>
    <r>
      <t>Area (cm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</si>
  <si>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Implants treating area A</t>
  </si>
  <si>
    <t>A is reduced by 10% for each uncrossed end.</t>
  </si>
  <si>
    <t>a = width, b = length</t>
  </si>
  <si>
    <t>Active Length (cm)</t>
  </si>
  <si>
    <r>
      <rPr>
        <b/>
        <sz val="10"/>
        <color indexed="30"/>
        <rFont val="Arial"/>
        <family val="2"/>
      </rPr>
      <t>*</t>
    </r>
    <r>
      <rPr>
        <sz val="10"/>
        <color indexed="8"/>
        <rFont val="Arial"/>
        <family val="2"/>
      </rPr>
      <t xml:space="preserve"> 0.42 mm steel filtration</t>
    </r>
  </si>
  <si>
    <r>
      <t>R-cm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/mCi-hr </t>
    </r>
  </si>
  <si>
    <t>Shape</t>
  </si>
  <si>
    <t>Components and allocation of activity</t>
  </si>
  <si>
    <t>rind</t>
  </si>
  <si>
    <t>core</t>
  </si>
  <si>
    <t>spheroid</t>
  </si>
  <si>
    <t>cylinder</t>
  </si>
  <si>
    <t>cuboid</t>
  </si>
  <si>
    <t xml:space="preserve">Distribution Rules  for Volume implants </t>
  </si>
  <si>
    <t>end</t>
  </si>
  <si>
    <t>shell</t>
  </si>
  <si>
    <t>belt</t>
  </si>
  <si>
    <t>⅛</t>
  </si>
  <si>
    <t>½</t>
  </si>
  <si>
    <t>sides</t>
  </si>
  <si>
    <r>
      <t>⅛</t>
    </r>
    <r>
      <rPr>
        <b/>
        <sz val="10"/>
        <rFont val="Arial"/>
        <family val="2"/>
      </rPr>
      <t xml:space="preserve"> per side</t>
    </r>
  </si>
  <si>
    <t>Distribution of activity (as a fraction of the total activity)</t>
  </si>
  <si>
    <t>Elongation correction factors (apply to PP table value)</t>
  </si>
  <si>
    <t>elongation</t>
  </si>
  <si>
    <t>correction factor</t>
  </si>
  <si>
    <t>elongation b/a</t>
  </si>
  <si>
    <r>
      <t xml:space="preserve">  </t>
    </r>
    <r>
      <rPr>
        <u/>
        <sz val="11"/>
        <rFont val="Arial"/>
        <family val="2"/>
      </rPr>
      <t>2</t>
    </r>
    <r>
      <rPr>
        <u/>
        <sz val="11"/>
        <rFont val="Symbol"/>
        <family val="1"/>
        <charset val="2"/>
      </rPr>
      <t xml:space="preserve"> r  </t>
    </r>
  </si>
  <si>
    <r>
      <t xml:space="preserve">  </t>
    </r>
    <r>
      <rPr>
        <u/>
        <sz val="11"/>
        <rFont val="Arial"/>
        <family val="2"/>
      </rPr>
      <t xml:space="preserve">2 </t>
    </r>
    <r>
      <rPr>
        <u/>
        <sz val="11"/>
        <rFont val="Symbol"/>
        <family val="1"/>
        <charset val="2"/>
      </rPr>
      <t xml:space="preserve">r  </t>
    </r>
  </si>
  <si>
    <t>Distance Apart</t>
  </si>
  <si>
    <t>Dose at mid-plane low by</t>
  </si>
  <si>
    <t>2 cm</t>
  </si>
  <si>
    <r>
      <t>0-25 cm</t>
    </r>
    <r>
      <rPr>
        <vertAlign val="superscript"/>
        <sz val="10"/>
        <rFont val="Arial"/>
        <family val="2"/>
      </rPr>
      <t>2</t>
    </r>
  </si>
  <si>
    <r>
      <t>25-50 cm</t>
    </r>
    <r>
      <rPr>
        <vertAlign val="superscript"/>
        <sz val="10"/>
        <rFont val="Arial"/>
        <family val="2"/>
      </rPr>
      <t>2</t>
    </r>
  </si>
  <si>
    <r>
      <t>25-80 cm</t>
    </r>
    <r>
      <rPr>
        <vertAlign val="superscript"/>
        <sz val="10"/>
        <rFont val="Arial"/>
        <family val="2"/>
      </rPr>
      <t>2</t>
    </r>
  </si>
  <si>
    <r>
      <t xml:space="preserve">Effect of large separation on midplane dose for </t>
    </r>
    <r>
      <rPr>
        <b/>
        <i/>
        <sz val="10"/>
        <color indexed="8"/>
        <rFont val="Arial"/>
        <family val="2"/>
      </rPr>
      <t>rectangular or elliptical 2-plane implants</t>
    </r>
  </si>
  <si>
    <t>Start with PP value from planar implant tables with h=0.5 cm</t>
  </si>
  <si>
    <t>2-plane correction factors (apply to PP value)</t>
  </si>
  <si>
    <t>Separation of Planes</t>
  </si>
  <si>
    <t>Correction Factor</t>
  </si>
  <si>
    <t xml:space="preserve">2-plane Volume implants </t>
  </si>
  <si>
    <t>Divide the total activity between the two planes in proportion to their areas.</t>
  </si>
  <si>
    <t>Arrange activity on each plane according to single-plane implant rules.</t>
  </si>
  <si>
    <t>and Area = mean area per plane of the two planes.</t>
  </si>
  <si>
    <r>
      <rPr>
        <sz val="10"/>
        <rFont val="Wingdings"/>
        <charset val="2"/>
      </rPr>
      <t>§</t>
    </r>
    <r>
      <rPr>
        <i/>
        <sz val="10"/>
        <rFont val="Arial"/>
        <family val="2"/>
      </rPr>
      <t xml:space="preserve"> in cylindrical implants, the belt should have at least 8 needles, and the core at least 4</t>
    </r>
  </si>
  <si>
    <r>
      <rPr>
        <sz val="10"/>
        <rFont val="Wingdings"/>
        <charset val="2"/>
      </rPr>
      <t>§</t>
    </r>
    <r>
      <rPr>
        <i/>
        <sz val="10"/>
        <rFont val="Arial"/>
        <family val="2"/>
      </rPr>
      <t xml:space="preserve"> if line sources are used, the spacing between them should not be more than 1.0-1.5 cm</t>
    </r>
  </si>
  <si>
    <r>
      <rPr>
        <sz val="10"/>
        <rFont val="Wingdings"/>
        <charset val="2"/>
      </rPr>
      <t>§</t>
    </r>
    <r>
      <rPr>
        <i/>
        <sz val="10"/>
        <rFont val="Arial"/>
        <family val="2"/>
      </rPr>
      <t xml:space="preserve"> activity in the core should be spread out as evenly as possible</t>
    </r>
  </si>
  <si>
    <r>
      <rPr>
        <sz val="10"/>
        <rFont val="Wingdings"/>
        <charset val="2"/>
      </rPr>
      <t>§</t>
    </r>
    <r>
      <rPr>
        <i/>
        <sz val="10"/>
        <rFont val="Arial"/>
        <family val="2"/>
      </rPr>
      <t xml:space="preserve"> activity on each surface should be distributed as evenly as possible</t>
    </r>
  </si>
  <si>
    <t>¾</t>
  </si>
  <si>
    <t>¼</t>
  </si>
  <si>
    <t>Active Length</t>
  </si>
  <si>
    <t>treating distance, h (cm)</t>
  </si>
  <si>
    <r>
      <t>R-cm</t>
    </r>
    <r>
      <rPr>
        <b/>
        <vertAlign val="superscript"/>
        <sz val="10"/>
        <color indexed="56"/>
        <rFont val="Arial"/>
        <family val="2"/>
      </rPr>
      <t>2</t>
    </r>
    <r>
      <rPr>
        <b/>
        <sz val="10"/>
        <color indexed="56"/>
        <rFont val="Arial"/>
        <family val="2"/>
      </rPr>
      <t>/mCi-hr  )</t>
    </r>
  </si>
  <si>
    <r>
      <t xml:space="preserve"> </t>
    </r>
    <r>
      <rPr>
        <b/>
        <sz val="12"/>
        <rFont val="Symbol"/>
        <family val="1"/>
        <charset val="2"/>
      </rPr>
      <t>G</t>
    </r>
    <r>
      <rPr>
        <b/>
        <sz val="12"/>
        <rFont val="Arial"/>
        <family val="2"/>
      </rPr>
      <t xml:space="preserve"> =</t>
    </r>
  </si>
  <si>
    <t>alter violet cell only</t>
  </si>
  <si>
    <r>
      <t>R-cm</t>
    </r>
    <r>
      <rPr>
        <b/>
        <vertAlign val="superscript"/>
        <sz val="11"/>
        <color indexed="56"/>
        <rFont val="Arial"/>
        <family val="2"/>
      </rPr>
      <t>2</t>
    </r>
    <r>
      <rPr>
        <b/>
        <sz val="11"/>
        <color indexed="56"/>
        <rFont val="Arial"/>
        <family val="2"/>
      </rPr>
      <t>/mCi-hr  )</t>
    </r>
  </si>
  <si>
    <r>
      <t xml:space="preserve">Ra-226*  (mCi-hr)       </t>
    </r>
    <r>
      <rPr>
        <b/>
        <sz val="10"/>
        <color indexed="56"/>
        <rFont val="Arial"/>
        <family val="2"/>
      </rPr>
      <t xml:space="preserve">(  </t>
    </r>
    <r>
      <rPr>
        <b/>
        <sz val="10"/>
        <color indexed="56"/>
        <rFont val="Symbol"/>
        <family val="1"/>
        <charset val="2"/>
      </rPr>
      <t xml:space="preserve">G </t>
    </r>
    <r>
      <rPr>
        <b/>
        <sz val="10"/>
        <color indexed="56"/>
        <rFont val="Arial"/>
        <family val="2"/>
      </rPr>
      <t>=</t>
    </r>
  </si>
  <si>
    <r>
      <t>Volume (cm</t>
    </r>
    <r>
      <rPr>
        <b/>
        <vertAlign val="superscript"/>
        <sz val="11"/>
        <color indexed="8"/>
        <rFont val="Arial"/>
        <family val="2"/>
      </rPr>
      <t>3</t>
    </r>
    <r>
      <rPr>
        <b/>
        <sz val="11"/>
        <color indexed="8"/>
        <rFont val="Arial"/>
        <family val="2"/>
      </rPr>
      <t>)</t>
    </r>
  </si>
  <si>
    <r>
      <rPr>
        <b/>
        <sz val="11"/>
        <color indexed="56"/>
        <rFont val="Arial"/>
        <family val="2"/>
      </rPr>
      <t xml:space="preserve">Ra-226*  (mCi-hr) </t>
    </r>
    <r>
      <rPr>
        <b/>
        <sz val="10"/>
        <color indexed="56"/>
        <rFont val="Arial"/>
        <family val="2"/>
      </rPr>
      <t xml:space="preserve">      (  </t>
    </r>
    <r>
      <rPr>
        <b/>
        <sz val="10"/>
        <color indexed="56"/>
        <rFont val="Symbol"/>
        <family val="1"/>
        <charset val="2"/>
      </rPr>
      <t xml:space="preserve">G </t>
    </r>
    <r>
      <rPr>
        <b/>
        <sz val="10"/>
        <color indexed="56"/>
        <rFont val="Arial"/>
        <family val="2"/>
      </rPr>
      <t>=</t>
    </r>
  </si>
  <si>
    <t>Ra-226*  (mCi-hr)</t>
  </si>
  <si>
    <r>
      <rPr>
        <b/>
        <sz val="11"/>
        <color indexed="60"/>
        <rFont val="Arial"/>
        <family val="2"/>
      </rPr>
      <t xml:space="preserve">Ir-192  (mCi-hr) </t>
    </r>
    <r>
      <rPr>
        <b/>
        <sz val="10"/>
        <color indexed="60"/>
        <rFont val="Arial"/>
        <family val="2"/>
      </rPr>
      <t xml:space="preserve">      (  </t>
    </r>
    <r>
      <rPr>
        <b/>
        <sz val="10"/>
        <color indexed="60"/>
        <rFont val="Symbol"/>
        <family val="1"/>
        <charset val="2"/>
      </rPr>
      <t>G</t>
    </r>
    <r>
      <rPr>
        <b/>
        <sz val="10"/>
        <color indexed="60"/>
        <rFont val="Arial"/>
        <family val="2"/>
      </rPr>
      <t xml:space="preserve"> =</t>
    </r>
  </si>
  <si>
    <r>
      <t>R-cm</t>
    </r>
    <r>
      <rPr>
        <b/>
        <vertAlign val="superscript"/>
        <sz val="10"/>
        <color indexed="60"/>
        <rFont val="Arial"/>
        <family val="2"/>
      </rPr>
      <t>2</t>
    </r>
    <r>
      <rPr>
        <b/>
        <sz val="10"/>
        <color indexed="60"/>
        <rFont val="Arial"/>
        <family val="2"/>
      </rPr>
      <t>/mCi-hr  )</t>
    </r>
  </si>
  <si>
    <r>
      <t xml:space="preserve">Ir-192  (mCi-hr)       </t>
    </r>
    <r>
      <rPr>
        <b/>
        <sz val="10"/>
        <color indexed="60"/>
        <rFont val="Arial"/>
        <family val="2"/>
      </rPr>
      <t xml:space="preserve">(  </t>
    </r>
    <r>
      <rPr>
        <b/>
        <sz val="10"/>
        <color indexed="60"/>
        <rFont val="Symbol"/>
        <family val="1"/>
        <charset val="2"/>
      </rPr>
      <t>G</t>
    </r>
    <r>
      <rPr>
        <b/>
        <sz val="10"/>
        <color indexed="60"/>
        <rFont val="Arial"/>
        <family val="2"/>
      </rPr>
      <t xml:space="preserve"> =</t>
    </r>
  </si>
  <si>
    <r>
      <t>R-cm</t>
    </r>
    <r>
      <rPr>
        <b/>
        <vertAlign val="superscript"/>
        <sz val="11"/>
        <color indexed="60"/>
        <rFont val="Arial"/>
        <family val="2"/>
      </rPr>
      <t>2</t>
    </r>
    <r>
      <rPr>
        <b/>
        <sz val="11"/>
        <color indexed="60"/>
        <rFont val="Arial"/>
        <family val="2"/>
      </rPr>
      <t>/mCi-hr  )</t>
    </r>
  </si>
  <si>
    <r>
      <t>Cs-137*  (MBq-days)</t>
    </r>
    <r>
      <rPr>
        <b/>
        <sz val="10"/>
        <color indexed="58"/>
        <rFont val="Arial"/>
        <family val="2"/>
      </rPr>
      <t xml:space="preserve">   (  </t>
    </r>
    <r>
      <rPr>
        <b/>
        <sz val="10"/>
        <color indexed="58"/>
        <rFont val="Symbol"/>
        <family val="1"/>
        <charset val="2"/>
      </rPr>
      <t>G</t>
    </r>
    <r>
      <rPr>
        <b/>
        <sz val="10"/>
        <color indexed="58"/>
        <rFont val="Arial"/>
        <family val="2"/>
      </rPr>
      <t xml:space="preserve"> =</t>
    </r>
  </si>
  <si>
    <r>
      <t>R-cm</t>
    </r>
    <r>
      <rPr>
        <b/>
        <vertAlign val="superscript"/>
        <sz val="11"/>
        <color indexed="58"/>
        <rFont val="Arial"/>
        <family val="2"/>
      </rPr>
      <t>2</t>
    </r>
    <r>
      <rPr>
        <b/>
        <sz val="11"/>
        <color indexed="58"/>
        <rFont val="Arial"/>
        <family val="2"/>
      </rPr>
      <t>/mCi-hr  )</t>
    </r>
  </si>
  <si>
    <r>
      <rPr>
        <b/>
        <sz val="11"/>
        <color indexed="58"/>
        <rFont val="Arial"/>
        <family val="2"/>
      </rPr>
      <t xml:space="preserve">Cs-137*  (MBq-days)  </t>
    </r>
    <r>
      <rPr>
        <b/>
        <sz val="10"/>
        <color indexed="58"/>
        <rFont val="Arial"/>
        <family val="2"/>
      </rPr>
      <t xml:space="preserve"> (  </t>
    </r>
    <r>
      <rPr>
        <b/>
        <sz val="10"/>
        <color indexed="58"/>
        <rFont val="Symbol"/>
        <family val="1"/>
        <charset val="2"/>
      </rPr>
      <t>G</t>
    </r>
    <r>
      <rPr>
        <b/>
        <sz val="10"/>
        <color indexed="58"/>
        <rFont val="Arial"/>
        <family val="2"/>
      </rPr>
      <t xml:space="preserve"> =</t>
    </r>
  </si>
  <si>
    <r>
      <t>R-cm</t>
    </r>
    <r>
      <rPr>
        <b/>
        <vertAlign val="superscript"/>
        <sz val="10"/>
        <color indexed="58"/>
        <rFont val="Arial"/>
        <family val="2"/>
      </rPr>
      <t>2</t>
    </r>
    <r>
      <rPr>
        <b/>
        <sz val="10"/>
        <color indexed="58"/>
        <rFont val="Arial"/>
        <family val="2"/>
      </rPr>
      <t>/mCi-hr  )</t>
    </r>
  </si>
  <si>
    <t xml:space="preserve">Cs-137* (MBq-days) </t>
  </si>
  <si>
    <r>
      <t xml:space="preserve">Paterson-Parker values for mCi-hr (or equivalent) of Ra-226, Ir-192 and Cs-137 required to deliver 10 Gy to muscle for different planar areas </t>
    </r>
    <r>
      <rPr>
        <b/>
        <i/>
        <sz val="12"/>
        <color indexed="10"/>
        <rFont val="Arial"/>
        <family val="2"/>
      </rPr>
      <t>and treating distances</t>
    </r>
  </si>
  <si>
    <t>Paterson-Parker line source values (uniform density) for the number of mCi-hr (or equivalent) of Ra-226, Ir-192 and Cs 137 required to deliver 10 Gy to muscle for different active lengths and treating distances</t>
  </si>
  <si>
    <t xml:space="preserve">Paterson-Parker volume implant values for number of mCi-hr (or equivalent)  of Ra-226, Ir-192 and Cs-137 required to deliver 10 Gy to muscle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</si>
</sst>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"/>
    <numFmt numFmtId="177" formatCode="0.0"/>
    <numFmt numFmtId="178" formatCode="0.0000"/>
    <numFmt numFmtId="181" formatCode="0.00000"/>
  </numFmts>
  <fonts count="7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sz val="10"/>
      <name val="Univers Condensed"/>
    </font>
    <font>
      <b/>
      <sz val="14"/>
      <color indexed="10"/>
      <name val="Arial"/>
      <family val="2"/>
    </font>
    <font>
      <b/>
      <sz val="12"/>
      <name val="Arial"/>
      <family val="2"/>
    </font>
    <font>
      <b/>
      <i/>
      <vertAlign val="subscript"/>
      <sz val="10"/>
      <name val="Arial"/>
      <family val="2"/>
    </font>
    <font>
      <b/>
      <sz val="12"/>
      <color indexed="21"/>
      <name val="Arial"/>
      <family val="2"/>
    </font>
    <font>
      <b/>
      <sz val="10"/>
      <name val="Symbol"/>
      <family val="1"/>
      <charset val="2"/>
    </font>
    <font>
      <vertAlign val="superscript"/>
      <sz val="10"/>
      <name val="Arial"/>
      <family val="2"/>
    </font>
    <font>
      <b/>
      <sz val="12"/>
      <name val="Symbol"/>
      <family val="1"/>
      <charset val="2"/>
    </font>
    <font>
      <b/>
      <vertAlign val="subscript"/>
      <sz val="12"/>
      <name val="Arial"/>
      <family val="2"/>
    </font>
    <font>
      <b/>
      <i/>
      <sz val="12"/>
      <name val="Arial"/>
      <family val="2"/>
    </font>
    <font>
      <b/>
      <i/>
      <vertAlign val="subscript"/>
      <sz val="12"/>
      <name val="Arial"/>
      <family val="2"/>
    </font>
    <font>
      <b/>
      <vertAlign val="subscript"/>
      <sz val="10"/>
      <name val="Arial"/>
      <family val="2"/>
    </font>
    <font>
      <b/>
      <i/>
      <sz val="12"/>
      <name val="Symbol"/>
      <family val="1"/>
      <charset val="2"/>
    </font>
    <font>
      <b/>
      <sz val="14"/>
      <color indexed="21"/>
      <name val="Arial"/>
      <family val="2"/>
    </font>
    <font>
      <b/>
      <i/>
      <sz val="10"/>
      <name val="Symbol"/>
      <family val="1"/>
      <charset val="2"/>
    </font>
    <font>
      <sz val="10"/>
      <name val="Symbol"/>
      <family val="1"/>
      <charset val="2"/>
    </font>
    <font>
      <b/>
      <sz val="10"/>
      <color indexed="8"/>
      <name val="Arial"/>
      <family val="2"/>
    </font>
    <font>
      <b/>
      <vertAlign val="superscript"/>
      <sz val="10"/>
      <color indexed="8"/>
      <name val="Arial"/>
      <family val="2"/>
    </font>
    <font>
      <sz val="10"/>
      <color indexed="8"/>
      <name val="Arial"/>
      <family val="2"/>
    </font>
    <font>
      <b/>
      <vertAlign val="superscript"/>
      <sz val="10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9"/>
      <name val="Symbol"/>
      <family val="1"/>
      <charset val="2"/>
    </font>
    <font>
      <sz val="10"/>
      <name val="Calibri"/>
      <family val="2"/>
    </font>
    <font>
      <u/>
      <sz val="11"/>
      <name val="Symbol"/>
      <family val="1"/>
      <charset val="2"/>
    </font>
    <font>
      <i/>
      <sz val="1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sz val="11"/>
      <name val="Calibri"/>
      <family val="2"/>
    </font>
    <font>
      <b/>
      <sz val="11"/>
      <name val="Arial"/>
      <family val="2"/>
    </font>
    <font>
      <b/>
      <sz val="11"/>
      <name val="Calibri"/>
      <family val="2"/>
    </font>
    <font>
      <u/>
      <sz val="11"/>
      <name val="Arial"/>
      <family val="2"/>
    </font>
    <font>
      <u/>
      <sz val="10"/>
      <name val="Arial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30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0"/>
      <name val="Wingdings"/>
      <charset val="2"/>
    </font>
    <font>
      <sz val="22"/>
      <name val="Arial"/>
      <family val="2"/>
    </font>
    <font>
      <b/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10"/>
      <color indexed="56"/>
      <name val="Symbol"/>
      <family val="1"/>
      <charset val="2"/>
    </font>
    <font>
      <b/>
      <vertAlign val="superscript"/>
      <sz val="10"/>
      <color indexed="56"/>
      <name val="Arial"/>
      <family val="2"/>
    </font>
    <font>
      <b/>
      <sz val="11"/>
      <color indexed="56"/>
      <name val="Arial"/>
      <family val="2"/>
    </font>
    <font>
      <b/>
      <vertAlign val="superscript"/>
      <sz val="11"/>
      <color indexed="56"/>
      <name val="Arial"/>
      <family val="2"/>
    </font>
    <font>
      <b/>
      <vertAlign val="superscript"/>
      <sz val="11"/>
      <color indexed="8"/>
      <name val="Arial"/>
      <family val="2"/>
    </font>
    <font>
      <b/>
      <sz val="10"/>
      <color indexed="60"/>
      <name val="Arial"/>
      <family val="2"/>
    </font>
    <font>
      <b/>
      <sz val="11"/>
      <color indexed="60"/>
      <name val="Arial"/>
      <family val="2"/>
    </font>
    <font>
      <b/>
      <sz val="10"/>
      <color indexed="60"/>
      <name val="Symbol"/>
      <family val="1"/>
      <charset val="2"/>
    </font>
    <font>
      <b/>
      <vertAlign val="superscript"/>
      <sz val="10"/>
      <color indexed="60"/>
      <name val="Arial"/>
      <family val="2"/>
    </font>
    <font>
      <b/>
      <vertAlign val="superscript"/>
      <sz val="11"/>
      <color indexed="60"/>
      <name val="Arial"/>
      <family val="2"/>
    </font>
    <font>
      <b/>
      <sz val="11"/>
      <color indexed="58"/>
      <name val="Arial"/>
      <family val="2"/>
    </font>
    <font>
      <b/>
      <sz val="10"/>
      <color indexed="58"/>
      <name val="Arial"/>
      <family val="2"/>
    </font>
    <font>
      <b/>
      <sz val="10"/>
      <color indexed="58"/>
      <name val="Symbol"/>
      <family val="1"/>
      <charset val="2"/>
    </font>
    <font>
      <b/>
      <vertAlign val="superscript"/>
      <sz val="11"/>
      <color indexed="58"/>
      <name val="Arial"/>
      <family val="2"/>
    </font>
    <font>
      <b/>
      <vertAlign val="superscript"/>
      <sz val="10"/>
      <color indexed="58"/>
      <name val="Arial"/>
      <family val="2"/>
    </font>
    <font>
      <sz val="12"/>
      <color rgb="FFFF0000"/>
      <name val="Arial"/>
      <family val="2"/>
    </font>
    <font>
      <b/>
      <i/>
      <sz val="12"/>
      <color rgb="FF0070C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2060"/>
      <name val="Arial"/>
      <family val="2"/>
    </font>
    <font>
      <b/>
      <sz val="11"/>
      <color rgb="FF002060"/>
      <name val="Arial"/>
      <family val="2"/>
    </font>
    <font>
      <b/>
      <sz val="10"/>
      <color rgb="FF663300"/>
      <name val="Arial"/>
      <family val="2"/>
    </font>
    <font>
      <b/>
      <sz val="11"/>
      <color rgb="FF663300"/>
      <name val="Arial"/>
      <family val="2"/>
    </font>
    <font>
      <b/>
      <sz val="11"/>
      <color rgb="FF003300"/>
      <name val="Arial"/>
      <family val="2"/>
    </font>
    <font>
      <sz val="11"/>
      <color rgb="FF003300"/>
      <name val="Arial"/>
      <family val="2"/>
    </font>
    <font>
      <b/>
      <sz val="10"/>
      <color rgb="FF003300"/>
      <name val="Arial"/>
      <family val="2"/>
    </font>
    <font>
      <sz val="10"/>
      <color rgb="FF003300"/>
      <name val="Arial"/>
      <family val="2"/>
    </font>
    <font>
      <b/>
      <i/>
      <sz val="12"/>
      <color rgb="FFFF0000"/>
      <name val="Arial"/>
      <family val="2"/>
    </font>
    <font>
      <sz val="11"/>
      <color rgb="FF002060"/>
      <name val="Arial"/>
      <family val="2"/>
    </font>
    <font>
      <sz val="10"/>
      <color rgb="FF00206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41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E1FFFF"/>
        <bgColor indexed="22"/>
      </patternFill>
    </fill>
    <fill>
      <patternFill patternType="solid">
        <fgColor rgb="FFFFFFCC"/>
        <bgColor indexed="64"/>
      </patternFill>
    </fill>
    <fill>
      <patternFill patternType="solid">
        <fgColor rgb="FFE1FFE1"/>
        <bgColor indexed="22"/>
      </patternFill>
    </fill>
    <fill>
      <patternFill patternType="solid">
        <fgColor rgb="FFEBF7D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AEAEA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6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0" xfId="1" applyFont="1" applyFill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1" fillId="0" borderId="3" xfId="1" applyFont="1" applyFill="1" applyBorder="1" applyAlignment="1" applyProtection="1">
      <alignment horizontal="center" vertical="center"/>
      <protection locked="0"/>
    </xf>
    <xf numFmtId="178" fontId="0" fillId="0" borderId="2" xfId="0" applyNumberFormat="1" applyBorder="1" applyAlignment="1">
      <alignment horizontal="center" vertical="center"/>
    </xf>
    <xf numFmtId="178" fontId="1" fillId="0" borderId="4" xfId="0" applyNumberFormat="1" applyFont="1" applyFill="1" applyBorder="1" applyAlignment="1">
      <alignment horizontal="center" vertical="center"/>
    </xf>
    <xf numFmtId="0" fontId="1" fillId="0" borderId="5" xfId="1" applyFill="1" applyBorder="1" applyAlignment="1" applyProtection="1">
      <alignment horizontal="center" vertical="center"/>
      <protection locked="0"/>
    </xf>
    <xf numFmtId="0" fontId="9" fillId="6" borderId="2" xfId="1" applyFont="1" applyFill="1" applyBorder="1" applyAlignment="1">
      <alignment horizontal="center" vertical="center"/>
    </xf>
    <xf numFmtId="181" fontId="1" fillId="0" borderId="3" xfId="1" applyNumberFormat="1" applyFill="1" applyBorder="1" applyAlignment="1" applyProtection="1">
      <alignment horizontal="center" vertical="center"/>
    </xf>
    <xf numFmtId="177" fontId="1" fillId="0" borderId="6" xfId="1" applyNumberFormat="1" applyFill="1" applyBorder="1" applyAlignment="1" applyProtection="1">
      <alignment horizontal="center" vertical="center"/>
      <protection locked="0"/>
    </xf>
    <xf numFmtId="177" fontId="1" fillId="0" borderId="7" xfId="1" applyNumberFormat="1" applyFill="1" applyBorder="1" applyAlignment="1" applyProtection="1">
      <alignment horizontal="center" vertical="center"/>
      <protection locked="0"/>
    </xf>
    <xf numFmtId="2" fontId="1" fillId="0" borderId="8" xfId="1" applyNumberForma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 vertical="center"/>
    </xf>
    <xf numFmtId="0" fontId="2" fillId="0" borderId="9" xfId="1" applyFont="1" applyFill="1" applyBorder="1" applyAlignment="1">
      <alignment horizontal="center" vertical="center"/>
    </xf>
    <xf numFmtId="0" fontId="2" fillId="0" borderId="10" xfId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76" fontId="1" fillId="0" borderId="11" xfId="1" applyNumberFormat="1" applyFont="1" applyFill="1" applyBorder="1" applyAlignment="1" applyProtection="1">
      <alignment horizontal="center" vertical="center"/>
      <protection locked="0"/>
    </xf>
    <xf numFmtId="176" fontId="1" fillId="0" borderId="12" xfId="1" applyNumberFormat="1" applyFill="1" applyBorder="1" applyAlignment="1" applyProtection="1">
      <alignment horizontal="center" vertical="center"/>
      <protection locked="0"/>
    </xf>
    <xf numFmtId="176" fontId="1" fillId="0" borderId="12" xfId="1" applyNumberFormat="1" applyFont="1" applyFill="1" applyBorder="1" applyAlignment="1" applyProtection="1">
      <alignment horizontal="center" vertical="center"/>
      <protection locked="0"/>
    </xf>
    <xf numFmtId="176" fontId="1" fillId="0" borderId="13" xfId="1" applyNumberFormat="1" applyFont="1" applyFill="1" applyBorder="1" applyAlignment="1" applyProtection="1">
      <alignment horizontal="center" vertical="center"/>
      <protection locked="0"/>
    </xf>
    <xf numFmtId="176" fontId="1" fillId="0" borderId="14" xfId="1" applyNumberFormat="1" applyFont="1" applyFill="1" applyBorder="1" applyAlignment="1" applyProtection="1">
      <alignment horizontal="center" vertical="center"/>
      <protection locked="0"/>
    </xf>
    <xf numFmtId="176" fontId="1" fillId="0" borderId="15" xfId="1" applyNumberFormat="1" applyFill="1" applyBorder="1" applyAlignment="1" applyProtection="1">
      <alignment horizontal="center" vertical="center"/>
      <protection locked="0"/>
    </xf>
    <xf numFmtId="176" fontId="1" fillId="0" borderId="15" xfId="1" applyNumberFormat="1" applyFont="1" applyFill="1" applyBorder="1" applyAlignment="1" applyProtection="1">
      <alignment horizontal="center" vertical="center"/>
      <protection locked="0"/>
    </xf>
    <xf numFmtId="176" fontId="1" fillId="0" borderId="16" xfId="1" applyNumberFormat="1" applyFont="1" applyFill="1" applyBorder="1" applyAlignment="1" applyProtection="1">
      <alignment horizontal="center" vertical="center"/>
      <protection locked="0"/>
    </xf>
    <xf numFmtId="176" fontId="1" fillId="0" borderId="17" xfId="1" applyNumberFormat="1" applyFont="1" applyFill="1" applyBorder="1" applyAlignment="1" applyProtection="1">
      <alignment horizontal="center" vertical="center"/>
      <protection locked="0"/>
    </xf>
    <xf numFmtId="176" fontId="1" fillId="0" borderId="18" xfId="1" applyNumberFormat="1" applyFill="1" applyBorder="1" applyAlignment="1" applyProtection="1">
      <alignment horizontal="center" vertical="center"/>
      <protection locked="0"/>
    </xf>
    <xf numFmtId="176" fontId="1" fillId="0" borderId="18" xfId="1" applyNumberFormat="1" applyFont="1" applyFill="1" applyBorder="1" applyAlignment="1" applyProtection="1">
      <alignment horizontal="center" vertical="center"/>
      <protection locked="0"/>
    </xf>
    <xf numFmtId="176" fontId="1" fillId="0" borderId="19" xfId="1" applyNumberFormat="1" applyFont="1" applyFill="1" applyBorder="1" applyAlignment="1" applyProtection="1">
      <alignment horizontal="center" vertical="center"/>
      <protection locked="0"/>
    </xf>
    <xf numFmtId="176" fontId="1" fillId="0" borderId="20" xfId="1" applyNumberFormat="1" applyFont="1" applyFill="1" applyBorder="1" applyAlignment="1" applyProtection="1">
      <alignment horizontal="center" vertical="center"/>
      <protection locked="0"/>
    </xf>
    <xf numFmtId="176" fontId="1" fillId="0" borderId="21" xfId="1" applyNumberFormat="1" applyFill="1" applyBorder="1" applyAlignment="1" applyProtection="1">
      <alignment horizontal="center" vertical="center"/>
      <protection locked="0"/>
    </xf>
    <xf numFmtId="176" fontId="1" fillId="0" borderId="21" xfId="1" applyNumberFormat="1" applyFont="1" applyFill="1" applyBorder="1" applyAlignment="1" applyProtection="1">
      <alignment horizontal="center" vertical="center"/>
      <protection locked="0"/>
    </xf>
    <xf numFmtId="176" fontId="1" fillId="0" borderId="22" xfId="1" applyNumberFormat="1" applyFont="1" applyFill="1" applyBorder="1" applyAlignment="1" applyProtection="1">
      <alignment horizontal="center" vertical="center"/>
      <protection locked="0"/>
    </xf>
    <xf numFmtId="2" fontId="2" fillId="0" borderId="23" xfId="1" applyNumberFormat="1" applyFont="1" applyFill="1" applyBorder="1" applyAlignment="1" applyProtection="1">
      <alignment horizontal="center" vertical="center"/>
      <protection locked="0"/>
    </xf>
    <xf numFmtId="176" fontId="1" fillId="0" borderId="23" xfId="1" applyNumberFormat="1" applyFont="1" applyFill="1" applyBorder="1" applyAlignment="1" applyProtection="1">
      <alignment horizontal="center" vertical="center"/>
      <protection locked="0"/>
    </xf>
    <xf numFmtId="176" fontId="1" fillId="0" borderId="0" xfId="1" applyNumberFormat="1" applyFill="1" applyBorder="1" applyAlignment="1">
      <alignment horizontal="center" vertical="center"/>
    </xf>
    <xf numFmtId="2" fontId="2" fillId="0" borderId="24" xfId="1" applyNumberFormat="1" applyFont="1" applyFill="1" applyBorder="1" applyAlignment="1" applyProtection="1">
      <alignment horizontal="center" vertical="center"/>
      <protection locked="0"/>
    </xf>
    <xf numFmtId="176" fontId="1" fillId="0" borderId="24" xfId="1" applyNumberFormat="1" applyFont="1" applyFill="1" applyBorder="1" applyAlignment="1" applyProtection="1">
      <alignment horizontal="center" vertical="center"/>
      <protection locked="0"/>
    </xf>
    <xf numFmtId="2" fontId="2" fillId="0" borderId="25" xfId="1" applyNumberFormat="1" applyFont="1" applyFill="1" applyBorder="1" applyAlignment="1" applyProtection="1">
      <alignment horizontal="center" vertical="center"/>
      <protection locked="0"/>
    </xf>
    <xf numFmtId="176" fontId="1" fillId="0" borderId="25" xfId="1" applyNumberFormat="1" applyFont="1" applyFill="1" applyBorder="1" applyAlignment="1" applyProtection="1">
      <alignment horizontal="center" vertical="center"/>
      <protection locked="0"/>
    </xf>
    <xf numFmtId="2" fontId="2" fillId="0" borderId="26" xfId="1" applyNumberFormat="1" applyFont="1" applyFill="1" applyBorder="1" applyAlignment="1" applyProtection="1">
      <alignment horizontal="center" vertical="center"/>
      <protection locked="0"/>
    </xf>
    <xf numFmtId="176" fontId="1" fillId="0" borderId="26" xfId="1" applyNumberFormat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>
      <alignment horizontal="center" vertical="center"/>
    </xf>
    <xf numFmtId="0" fontId="1" fillId="0" borderId="27" xfId="1" applyBorder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28" xfId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left" vertical="center"/>
    </xf>
    <xf numFmtId="0" fontId="6" fillId="0" borderId="4" xfId="1" applyFont="1" applyFill="1" applyBorder="1" applyAlignment="1">
      <alignment horizontal="center" vertical="center" wrapText="1"/>
    </xf>
    <xf numFmtId="0" fontId="6" fillId="7" borderId="2" xfId="1" applyFont="1" applyFill="1" applyBorder="1" applyAlignment="1">
      <alignment horizontal="center" vertical="center"/>
    </xf>
    <xf numFmtId="0" fontId="11" fillId="7" borderId="2" xfId="1" applyFont="1" applyFill="1" applyBorder="1" applyAlignment="1">
      <alignment horizontal="center" vertical="top"/>
    </xf>
    <xf numFmtId="0" fontId="6" fillId="6" borderId="3" xfId="1" applyFont="1" applyFill="1" applyBorder="1" applyAlignment="1">
      <alignment horizontal="center" vertical="center"/>
    </xf>
    <xf numFmtId="2" fontId="2" fillId="6" borderId="29" xfId="1" applyNumberFormat="1" applyFont="1" applyFill="1" applyBorder="1" applyAlignment="1" applyProtection="1">
      <alignment horizontal="center" vertical="center"/>
      <protection locked="0"/>
    </xf>
    <xf numFmtId="2" fontId="2" fillId="6" borderId="30" xfId="1" applyNumberFormat="1" applyFont="1" applyFill="1" applyBorder="1" applyAlignment="1" applyProtection="1">
      <alignment horizontal="center" vertical="center"/>
      <protection locked="0"/>
    </xf>
    <xf numFmtId="177" fontId="2" fillId="7" borderId="6" xfId="1" applyNumberFormat="1" applyFont="1" applyFill="1" applyBorder="1" applyAlignment="1" applyProtection="1">
      <alignment horizontal="center" vertical="center"/>
      <protection locked="0"/>
    </xf>
    <xf numFmtId="177" fontId="2" fillId="7" borderId="7" xfId="1" applyNumberFormat="1" applyFont="1" applyFill="1" applyBorder="1" applyAlignment="1" applyProtection="1">
      <alignment horizontal="center" vertical="center"/>
      <protection locked="0"/>
    </xf>
    <xf numFmtId="177" fontId="2" fillId="7" borderId="8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center"/>
      <protection locked="0"/>
    </xf>
    <xf numFmtId="2" fontId="2" fillId="8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178" fontId="1" fillId="0" borderId="0" xfId="1" applyNumberForma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176" fontId="1" fillId="0" borderId="32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2" fontId="2" fillId="0" borderId="28" xfId="1" applyNumberFormat="1" applyFont="1" applyFill="1" applyBorder="1" applyAlignment="1" applyProtection="1">
      <alignment horizontal="center" vertical="center"/>
      <protection locked="0"/>
    </xf>
    <xf numFmtId="176" fontId="1" fillId="0" borderId="28" xfId="1" applyNumberFormat="1" applyFont="1" applyFill="1" applyBorder="1" applyAlignment="1" applyProtection="1">
      <alignment horizontal="center" vertical="center"/>
      <protection locked="0"/>
    </xf>
    <xf numFmtId="176" fontId="1" fillId="0" borderId="25" xfId="1" applyNumberFormat="1" applyBorder="1" applyAlignment="1">
      <alignment horizontal="center" vertical="center"/>
    </xf>
    <xf numFmtId="176" fontId="1" fillId="0" borderId="26" xfId="1" applyNumberFormat="1" applyBorder="1" applyAlignment="1">
      <alignment horizontal="center" vertical="center"/>
    </xf>
    <xf numFmtId="2" fontId="2" fillId="0" borderId="25" xfId="1" applyNumberFormat="1" applyFont="1" applyBorder="1" applyAlignment="1">
      <alignment horizontal="center" vertical="center"/>
    </xf>
    <xf numFmtId="2" fontId="2" fillId="0" borderId="26" xfId="1" applyNumberFormat="1" applyFont="1" applyBorder="1" applyAlignment="1">
      <alignment horizontal="center" vertical="center"/>
    </xf>
    <xf numFmtId="0" fontId="1" fillId="0" borderId="0" xfId="0" applyFont="1"/>
    <xf numFmtId="176" fontId="1" fillId="0" borderId="3" xfId="0" applyNumberFormat="1" applyFont="1" applyBorder="1" applyAlignment="1">
      <alignment horizontal="center" vertical="center"/>
    </xf>
    <xf numFmtId="2" fontId="2" fillId="6" borderId="31" xfId="1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vertical="top" wrapText="1"/>
    </xf>
    <xf numFmtId="2" fontId="2" fillId="6" borderId="33" xfId="1" applyNumberFormat="1" applyFont="1" applyFill="1" applyBorder="1" applyAlignment="1" applyProtection="1">
      <alignment horizontal="center" vertical="center"/>
      <protection locked="0"/>
    </xf>
    <xf numFmtId="176" fontId="1" fillId="0" borderId="13" xfId="1" applyNumberFormat="1" applyFill="1" applyBorder="1" applyAlignment="1" applyProtection="1">
      <alignment horizontal="center" vertical="center"/>
      <protection locked="0"/>
    </xf>
    <xf numFmtId="176" fontId="1" fillId="0" borderId="16" xfId="1" applyNumberFormat="1" applyFill="1" applyBorder="1" applyAlignment="1" applyProtection="1">
      <alignment horizontal="center" vertical="center"/>
      <protection locked="0"/>
    </xf>
    <xf numFmtId="176" fontId="1" fillId="0" borderId="19" xfId="1" applyNumberFormat="1" applyFill="1" applyBorder="1" applyAlignment="1" applyProtection="1">
      <alignment horizontal="center" vertical="center"/>
      <protection locked="0"/>
    </xf>
    <xf numFmtId="0" fontId="1" fillId="0" borderId="20" xfId="1" applyFill="1" applyBorder="1" applyAlignment="1">
      <alignment horizontal="center" vertical="center"/>
    </xf>
    <xf numFmtId="0" fontId="1" fillId="0" borderId="21" xfId="1" applyFill="1" applyBorder="1" applyAlignment="1">
      <alignment horizontal="center" vertical="center"/>
    </xf>
    <xf numFmtId="176" fontId="1" fillId="0" borderId="21" xfId="1" applyNumberFormat="1" applyFill="1" applyBorder="1" applyAlignment="1">
      <alignment horizontal="center" vertical="center"/>
    </xf>
    <xf numFmtId="176" fontId="1" fillId="0" borderId="22" xfId="1" applyNumberFormat="1" applyFill="1" applyBorder="1" applyAlignment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  <protection locked="0"/>
    </xf>
    <xf numFmtId="176" fontId="1" fillId="0" borderId="9" xfId="0" applyNumberFormat="1" applyFont="1" applyFill="1" applyBorder="1" applyAlignment="1">
      <alignment horizontal="center" vertical="center"/>
    </xf>
    <xf numFmtId="177" fontId="2" fillId="8" borderId="34" xfId="0" applyNumberFormat="1" applyFont="1" applyFill="1" applyBorder="1" applyAlignment="1">
      <alignment horizontal="center" vertical="center"/>
    </xf>
    <xf numFmtId="0" fontId="6" fillId="0" borderId="0" xfId="1" applyFont="1" applyFill="1" applyBorder="1" applyAlignment="1">
      <alignment horizontal="center" vertical="center"/>
    </xf>
    <xf numFmtId="2" fontId="1" fillId="0" borderId="0" xfId="1" applyNumberFormat="1" applyFill="1" applyBorder="1" applyAlignment="1" applyProtection="1">
      <alignment horizontal="center" vertical="center"/>
      <protection locked="0"/>
    </xf>
    <xf numFmtId="0" fontId="1" fillId="0" borderId="35" xfId="1" applyBorder="1" applyAlignment="1">
      <alignment horizontal="center" vertical="center"/>
    </xf>
    <xf numFmtId="2" fontId="2" fillId="0" borderId="0" xfId="1" applyNumberFormat="1" applyFont="1" applyFill="1" applyBorder="1" applyAlignment="1" applyProtection="1">
      <alignment horizontal="center" vertical="center"/>
      <protection locked="0"/>
    </xf>
    <xf numFmtId="176" fontId="1" fillId="0" borderId="0" xfId="1" applyNumberFormat="1" applyFont="1" applyFill="1" applyBorder="1" applyAlignment="1" applyProtection="1">
      <alignment horizontal="center" vertical="center"/>
      <protection locked="0"/>
    </xf>
    <xf numFmtId="0" fontId="11" fillId="0" borderId="0" xfId="1" applyFont="1" applyFill="1" applyBorder="1" applyAlignment="1">
      <alignment horizontal="center" vertical="top"/>
    </xf>
    <xf numFmtId="2" fontId="2" fillId="0" borderId="0" xfId="1" applyNumberFormat="1" applyFont="1" applyFill="1" applyBorder="1" applyAlignment="1">
      <alignment horizontal="center" vertical="center"/>
    </xf>
    <xf numFmtId="176" fontId="1" fillId="0" borderId="9" xfId="1" applyNumberFormat="1" applyFill="1" applyBorder="1" applyAlignment="1">
      <alignment horizontal="center" vertical="center"/>
    </xf>
    <xf numFmtId="0" fontId="6" fillId="7" borderId="1" xfId="1" applyFont="1" applyFill="1" applyBorder="1" applyAlignment="1">
      <alignment horizontal="center" vertical="center"/>
    </xf>
    <xf numFmtId="2" fontId="1" fillId="0" borderId="33" xfId="1" applyNumberFormat="1" applyFill="1" applyBorder="1" applyAlignment="1" applyProtection="1">
      <alignment horizontal="center" vertical="center"/>
      <protection locked="0"/>
    </xf>
    <xf numFmtId="2" fontId="1" fillId="0" borderId="30" xfId="1" applyNumberFormat="1" applyFill="1" applyBorder="1" applyAlignment="1" applyProtection="1">
      <alignment horizontal="center" vertical="center"/>
      <protection locked="0"/>
    </xf>
    <xf numFmtId="0" fontId="1" fillId="0" borderId="36" xfId="1" applyFill="1" applyBorder="1" applyAlignment="1">
      <alignment horizontal="center" vertical="center"/>
    </xf>
    <xf numFmtId="0" fontId="6" fillId="7" borderId="37" xfId="1" applyFont="1" applyFill="1" applyBorder="1" applyAlignment="1">
      <alignment horizontal="center" vertical="top"/>
    </xf>
    <xf numFmtId="178" fontId="1" fillId="0" borderId="23" xfId="1" applyNumberFormat="1" applyFill="1" applyBorder="1" applyAlignment="1" applyProtection="1">
      <alignment horizontal="center" vertical="center"/>
      <protection locked="0"/>
    </xf>
    <xf numFmtId="178" fontId="1" fillId="0" borderId="25" xfId="1" applyNumberFormat="1" applyFill="1" applyBorder="1" applyAlignment="1" applyProtection="1">
      <alignment horizontal="center" vertical="center"/>
      <protection locked="0"/>
    </xf>
    <xf numFmtId="0" fontId="1" fillId="0" borderId="26" xfId="1" applyFill="1" applyBorder="1" applyAlignment="1">
      <alignment horizontal="center" vertical="center"/>
    </xf>
    <xf numFmtId="2" fontId="1" fillId="0" borderId="36" xfId="1" applyNumberFormat="1" applyFill="1" applyBorder="1" applyAlignment="1" applyProtection="1">
      <alignment horizontal="center" vertical="center"/>
      <protection locked="0"/>
    </xf>
    <xf numFmtId="0" fontId="6" fillId="7" borderId="2" xfId="1" applyFont="1" applyFill="1" applyBorder="1" applyAlignment="1">
      <alignment horizontal="center" vertical="top"/>
    </xf>
    <xf numFmtId="178" fontId="1" fillId="0" borderId="26" xfId="1" applyNumberFormat="1" applyFill="1" applyBorder="1" applyAlignment="1" applyProtection="1">
      <alignment horizontal="center" vertical="center"/>
      <protection locked="0"/>
    </xf>
    <xf numFmtId="0" fontId="6" fillId="7" borderId="3" xfId="1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Border="1" applyAlignment="1">
      <alignment vertical="top" wrapText="1"/>
    </xf>
    <xf numFmtId="176" fontId="1" fillId="0" borderId="22" xfId="1" applyNumberFormat="1" applyFont="1" applyFill="1" applyBorder="1" applyAlignment="1">
      <alignment horizontal="center" vertical="center"/>
    </xf>
    <xf numFmtId="176" fontId="1" fillId="0" borderId="21" xfId="1" applyNumberFormat="1" applyFont="1" applyFill="1" applyBorder="1" applyAlignment="1">
      <alignment horizontal="center" vertical="center"/>
    </xf>
    <xf numFmtId="2" fontId="2" fillId="6" borderId="26" xfId="1" applyNumberFormat="1" applyFont="1" applyFill="1" applyBorder="1" applyAlignment="1" applyProtection="1">
      <alignment horizontal="center" vertical="center"/>
      <protection locked="0"/>
    </xf>
    <xf numFmtId="176" fontId="1" fillId="0" borderId="16" xfId="1" applyNumberFormat="1" applyFont="1" applyFill="1" applyBorder="1" applyAlignment="1">
      <alignment horizontal="center" vertical="center"/>
    </xf>
    <xf numFmtId="176" fontId="1" fillId="0" borderId="15" xfId="1" applyNumberFormat="1" applyFont="1" applyFill="1" applyBorder="1" applyAlignment="1">
      <alignment horizontal="center" vertical="center"/>
    </xf>
    <xf numFmtId="2" fontId="2" fillId="6" borderId="25" xfId="1" applyNumberFormat="1" applyFont="1" applyFill="1" applyBorder="1" applyAlignment="1" applyProtection="1">
      <alignment horizontal="center" vertical="center"/>
      <protection locked="0"/>
    </xf>
    <xf numFmtId="176" fontId="1" fillId="0" borderId="14" xfId="1" applyNumberFormat="1" applyFont="1" applyFill="1" applyBorder="1" applyAlignment="1">
      <alignment horizontal="center" vertical="center"/>
    </xf>
    <xf numFmtId="2" fontId="2" fillId="6" borderId="25" xfId="1" applyNumberFormat="1" applyFont="1" applyFill="1" applyBorder="1" applyAlignment="1">
      <alignment horizontal="center" vertical="center"/>
    </xf>
    <xf numFmtId="176" fontId="1" fillId="0" borderId="13" xfId="1" applyNumberFormat="1" applyFont="1" applyFill="1" applyBorder="1" applyAlignment="1">
      <alignment horizontal="center" vertical="center"/>
    </xf>
    <xf numFmtId="176" fontId="1" fillId="0" borderId="12" xfId="1" applyNumberFormat="1" applyFont="1" applyFill="1" applyBorder="1" applyAlignment="1">
      <alignment horizontal="center" vertical="center"/>
    </xf>
    <xf numFmtId="2" fontId="2" fillId="6" borderId="23" xfId="1" applyNumberFormat="1" applyFont="1" applyFill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horizontal="left" vertical="center"/>
    </xf>
    <xf numFmtId="177" fontId="2" fillId="7" borderId="8" xfId="1" applyNumberFormat="1" applyFont="1" applyFill="1" applyBorder="1" applyAlignment="1">
      <alignment horizontal="center" vertical="center"/>
    </xf>
    <xf numFmtId="177" fontId="2" fillId="7" borderId="7" xfId="1" applyNumberFormat="1" applyFont="1" applyFill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176" fontId="1" fillId="0" borderId="9" xfId="1" applyNumberFormat="1" applyFont="1" applyFill="1" applyBorder="1" applyAlignment="1">
      <alignment horizontal="center" vertical="center"/>
    </xf>
    <xf numFmtId="178" fontId="1" fillId="0" borderId="4" xfId="1" applyNumberFormat="1" applyFont="1" applyFill="1" applyBorder="1" applyAlignment="1">
      <alignment horizontal="center" vertical="center"/>
    </xf>
    <xf numFmtId="177" fontId="2" fillId="8" borderId="34" xfId="1" applyNumberFormat="1" applyFont="1" applyFill="1" applyBorder="1" applyAlignment="1">
      <alignment horizontal="center" vertical="center"/>
    </xf>
    <xf numFmtId="2" fontId="2" fillId="8" borderId="31" xfId="1" applyNumberFormat="1" applyFont="1" applyFill="1" applyBorder="1" applyAlignment="1" applyProtection="1">
      <alignment horizontal="center" vertical="center"/>
      <protection locked="0"/>
    </xf>
    <xf numFmtId="0" fontId="1" fillId="0" borderId="3" xfId="1" applyFont="1" applyBorder="1" applyAlignment="1">
      <alignment horizontal="center"/>
    </xf>
    <xf numFmtId="176" fontId="1" fillId="0" borderId="5" xfId="1" applyNumberFormat="1" applyFill="1" applyBorder="1" applyAlignment="1" applyProtection="1">
      <alignment horizontal="center" vertical="center"/>
      <protection locked="0"/>
    </xf>
    <xf numFmtId="176" fontId="1" fillId="0" borderId="3" xfId="1" applyNumberFormat="1" applyFont="1" applyBorder="1" applyAlignment="1">
      <alignment horizontal="center" vertical="center"/>
    </xf>
    <xf numFmtId="0" fontId="63" fillId="0" borderId="0" xfId="0" applyFont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22" fillId="9" borderId="12" xfId="0" applyNumberFormat="1" applyFont="1" applyFill="1" applyBorder="1" applyAlignment="1">
      <alignment horizontal="center" vertical="center" wrapText="1"/>
    </xf>
    <xf numFmtId="1" fontId="22" fillId="9" borderId="15" xfId="0" applyNumberFormat="1" applyFont="1" applyFill="1" applyBorder="1" applyAlignment="1">
      <alignment horizontal="center" vertical="center" wrapText="1"/>
    </xf>
    <xf numFmtId="1" fontId="22" fillId="9" borderId="21" xfId="0" applyNumberFormat="1" applyFont="1" applyFill="1" applyBorder="1" applyAlignment="1">
      <alignment horizontal="center" vertical="center" wrapText="1"/>
    </xf>
    <xf numFmtId="1" fontId="22" fillId="10" borderId="11" xfId="0" applyNumberFormat="1" applyFont="1" applyFill="1" applyBorder="1" applyAlignment="1">
      <alignment horizontal="center" vertical="center" wrapText="1"/>
    </xf>
    <xf numFmtId="1" fontId="22" fillId="10" borderId="12" xfId="0" applyNumberFormat="1" applyFont="1" applyFill="1" applyBorder="1" applyAlignment="1">
      <alignment horizontal="center" vertical="center" wrapText="1"/>
    </xf>
    <xf numFmtId="1" fontId="22" fillId="10" borderId="13" xfId="0" applyNumberFormat="1" applyFont="1" applyFill="1" applyBorder="1" applyAlignment="1">
      <alignment horizontal="center" vertical="center" wrapText="1"/>
    </xf>
    <xf numFmtId="1" fontId="22" fillId="10" borderId="14" xfId="0" applyNumberFormat="1" applyFont="1" applyFill="1" applyBorder="1" applyAlignment="1">
      <alignment horizontal="center" vertical="center" wrapText="1"/>
    </xf>
    <xf numFmtId="1" fontId="22" fillId="10" borderId="15" xfId="0" applyNumberFormat="1" applyFont="1" applyFill="1" applyBorder="1" applyAlignment="1">
      <alignment horizontal="center" vertical="center" wrapText="1"/>
    </xf>
    <xf numFmtId="1" fontId="22" fillId="10" borderId="16" xfId="0" applyNumberFormat="1" applyFont="1" applyFill="1" applyBorder="1" applyAlignment="1">
      <alignment horizontal="center" vertical="center" wrapText="1"/>
    </xf>
    <xf numFmtId="1" fontId="22" fillId="10" borderId="20" xfId="0" applyNumberFormat="1" applyFont="1" applyFill="1" applyBorder="1" applyAlignment="1">
      <alignment horizontal="center" vertical="center" wrapText="1"/>
    </xf>
    <xf numFmtId="1" fontId="22" fillId="10" borderId="21" xfId="0" applyNumberFormat="1" applyFont="1" applyFill="1" applyBorder="1" applyAlignment="1">
      <alignment horizontal="center" vertical="center" wrapText="1"/>
    </xf>
    <xf numFmtId="1" fontId="22" fillId="10" borderId="22" xfId="0" applyNumberFormat="1" applyFont="1" applyFill="1" applyBorder="1" applyAlignment="1">
      <alignment horizontal="center" vertical="center" wrapText="1"/>
    </xf>
    <xf numFmtId="1" fontId="22" fillId="11" borderId="12" xfId="0" applyNumberFormat="1" applyFont="1" applyFill="1" applyBorder="1" applyAlignment="1">
      <alignment horizontal="center" vertical="center" wrapText="1"/>
    </xf>
    <xf numFmtId="1" fontId="22" fillId="11" borderId="13" xfId="0" applyNumberFormat="1" applyFont="1" applyFill="1" applyBorder="1" applyAlignment="1">
      <alignment horizontal="center" vertical="center" wrapText="1"/>
    </xf>
    <xf numFmtId="1" fontId="22" fillId="11" borderId="15" xfId="0" applyNumberFormat="1" applyFont="1" applyFill="1" applyBorder="1" applyAlignment="1">
      <alignment horizontal="center" vertical="center" wrapText="1"/>
    </xf>
    <xf numFmtId="1" fontId="22" fillId="11" borderId="16" xfId="0" applyNumberFormat="1" applyFont="1" applyFill="1" applyBorder="1" applyAlignment="1">
      <alignment horizontal="center" vertical="center" wrapText="1"/>
    </xf>
    <xf numFmtId="1" fontId="22" fillId="11" borderId="21" xfId="0" applyNumberFormat="1" applyFont="1" applyFill="1" applyBorder="1" applyAlignment="1">
      <alignment horizontal="center" vertical="center" wrapText="1"/>
    </xf>
    <xf numFmtId="1" fontId="22" fillId="11" borderId="22" xfId="0" applyNumberFormat="1" applyFont="1" applyFill="1" applyBorder="1" applyAlignment="1">
      <alignment horizontal="center" vertical="center" wrapText="1"/>
    </xf>
    <xf numFmtId="1" fontId="22" fillId="9" borderId="11" xfId="0" applyNumberFormat="1" applyFont="1" applyFill="1" applyBorder="1" applyAlignment="1">
      <alignment horizontal="center" vertical="center" wrapText="1"/>
    </xf>
    <xf numFmtId="1" fontId="22" fillId="9" borderId="14" xfId="0" applyNumberFormat="1" applyFont="1" applyFill="1" applyBorder="1" applyAlignment="1">
      <alignment horizontal="center" vertical="center" wrapText="1"/>
    </xf>
    <xf numFmtId="1" fontId="22" fillId="9" borderId="20" xfId="0" applyNumberFormat="1" applyFont="1" applyFill="1" applyBorder="1" applyAlignment="1">
      <alignment horizontal="center" vertical="center" wrapText="1"/>
    </xf>
    <xf numFmtId="1" fontId="22" fillId="11" borderId="11" xfId="0" applyNumberFormat="1" applyFont="1" applyFill="1" applyBorder="1" applyAlignment="1">
      <alignment horizontal="center" vertical="center" wrapText="1"/>
    </xf>
    <xf numFmtId="1" fontId="22" fillId="11" borderId="14" xfId="0" applyNumberFormat="1" applyFont="1" applyFill="1" applyBorder="1" applyAlignment="1">
      <alignment horizontal="center" vertical="center" wrapText="1"/>
    </xf>
    <xf numFmtId="1" fontId="22" fillId="11" borderId="2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center" vertical="center" wrapText="1"/>
    </xf>
    <xf numFmtId="1" fontId="22" fillId="0" borderId="0" xfId="0" applyNumberFormat="1" applyFont="1" applyFill="1" applyBorder="1" applyAlignment="1">
      <alignment horizontal="center" vertical="center" wrapText="1"/>
    </xf>
    <xf numFmtId="1" fontId="22" fillId="9" borderId="13" xfId="0" applyNumberFormat="1" applyFont="1" applyFill="1" applyBorder="1" applyAlignment="1">
      <alignment horizontal="center" vertical="center" wrapText="1"/>
    </xf>
    <xf numFmtId="1" fontId="22" fillId="9" borderId="16" xfId="0" applyNumberFormat="1" applyFont="1" applyFill="1" applyBorder="1" applyAlignment="1">
      <alignment horizontal="center" vertical="center" wrapText="1"/>
    </xf>
    <xf numFmtId="1" fontId="22" fillId="9" borderId="22" xfId="0" applyNumberFormat="1" applyFont="1" applyFill="1" applyBorder="1" applyAlignment="1">
      <alignment horizontal="center" vertical="center" wrapText="1"/>
    </xf>
    <xf numFmtId="0" fontId="2" fillId="0" borderId="4" xfId="1" applyFont="1" applyFill="1" applyBorder="1" applyAlignment="1">
      <alignment horizontal="center" vertical="center"/>
    </xf>
    <xf numFmtId="0" fontId="2" fillId="0" borderId="6" xfId="1" applyFont="1" applyFill="1" applyBorder="1" applyAlignment="1">
      <alignment horizontal="center" vertical="center"/>
    </xf>
    <xf numFmtId="177" fontId="20" fillId="4" borderId="6" xfId="0" applyNumberFormat="1" applyFont="1" applyFill="1" applyBorder="1" applyAlignment="1">
      <alignment horizontal="center" vertical="center" wrapText="1"/>
    </xf>
    <xf numFmtId="177" fontId="20" fillId="4" borderId="7" xfId="0" applyNumberFormat="1" applyFont="1" applyFill="1" applyBorder="1" applyAlignment="1">
      <alignment horizontal="center" vertical="center" wrapText="1"/>
    </xf>
    <xf numFmtId="177" fontId="20" fillId="4" borderId="8" xfId="0" applyNumberFormat="1" applyFont="1" applyFill="1" applyBorder="1" applyAlignment="1">
      <alignment horizontal="center" vertical="center" wrapText="1"/>
    </xf>
    <xf numFmtId="177" fontId="20" fillId="3" borderId="6" xfId="0" applyNumberFormat="1" applyFont="1" applyFill="1" applyBorder="1" applyAlignment="1">
      <alignment horizontal="center" vertical="center" wrapText="1"/>
    </xf>
    <xf numFmtId="177" fontId="20" fillId="3" borderId="7" xfId="0" applyNumberFormat="1" applyFont="1" applyFill="1" applyBorder="1" applyAlignment="1">
      <alignment horizontal="center" vertical="center" wrapText="1"/>
    </xf>
    <xf numFmtId="177" fontId="20" fillId="3" borderId="8" xfId="0" applyNumberFormat="1" applyFont="1" applyFill="1" applyBorder="1" applyAlignment="1">
      <alignment horizontal="center" vertical="center" wrapText="1"/>
    </xf>
    <xf numFmtId="177" fontId="20" fillId="5" borderId="6" xfId="0" applyNumberFormat="1" applyFont="1" applyFill="1" applyBorder="1" applyAlignment="1">
      <alignment horizontal="center" vertical="center" wrapText="1"/>
    </xf>
    <xf numFmtId="177" fontId="20" fillId="5" borderId="7" xfId="0" applyNumberFormat="1" applyFont="1" applyFill="1" applyBorder="1" applyAlignment="1">
      <alignment horizontal="center" vertical="center" wrapText="1"/>
    </xf>
    <xf numFmtId="177" fontId="20" fillId="5" borderId="8" xfId="0" applyNumberFormat="1" applyFont="1" applyFill="1" applyBorder="1" applyAlignment="1">
      <alignment horizontal="center" vertical="center" wrapText="1"/>
    </xf>
    <xf numFmtId="1" fontId="0" fillId="0" borderId="38" xfId="0" applyNumberFormat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" fillId="0" borderId="0" xfId="1" applyFill="1" applyBorder="1" applyAlignment="1">
      <alignment vertical="center"/>
    </xf>
    <xf numFmtId="0" fontId="2" fillId="0" borderId="0" xfId="1" applyFont="1" applyAlignment="1">
      <alignment vertical="center"/>
    </xf>
    <xf numFmtId="2" fontId="2" fillId="8" borderId="34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77" fontId="20" fillId="0" borderId="0" xfId="0" applyNumberFormat="1" applyFont="1" applyFill="1" applyBorder="1" applyAlignment="1">
      <alignment horizontal="center" vertical="center" wrapText="1"/>
    </xf>
    <xf numFmtId="0" fontId="2" fillId="7" borderId="38" xfId="0" applyFont="1" applyFill="1" applyBorder="1" applyAlignment="1">
      <alignment horizontal="center" vertical="top" wrapText="1"/>
    </xf>
    <xf numFmtId="49" fontId="2" fillId="7" borderId="39" xfId="0" applyNumberFormat="1" applyFont="1" applyFill="1" applyBorder="1" applyAlignment="1">
      <alignment horizontal="center" vertical="top" wrapText="1"/>
    </xf>
    <xf numFmtId="0" fontId="2" fillId="7" borderId="39" xfId="0" applyFont="1" applyFill="1" applyBorder="1" applyAlignment="1">
      <alignment horizontal="center" vertical="top" wrapText="1"/>
    </xf>
    <xf numFmtId="0" fontId="2" fillId="7" borderId="34" xfId="0" applyFont="1" applyFill="1" applyBorder="1" applyAlignment="1">
      <alignment horizontal="center" vertical="top" wrapText="1"/>
    </xf>
    <xf numFmtId="9" fontId="1" fillId="0" borderId="40" xfId="0" applyNumberFormat="1" applyFont="1" applyBorder="1" applyAlignment="1">
      <alignment horizontal="center" vertical="top" wrapText="1"/>
    </xf>
    <xf numFmtId="9" fontId="1" fillId="0" borderId="18" xfId="0" applyNumberFormat="1" applyFont="1" applyBorder="1" applyAlignment="1">
      <alignment horizontal="center" vertical="top" wrapText="1"/>
    </xf>
    <xf numFmtId="9" fontId="1" fillId="0" borderId="19" xfId="0" applyNumberFormat="1" applyFont="1" applyBorder="1" applyAlignment="1">
      <alignment horizontal="center" vertical="top" wrapText="1"/>
    </xf>
    <xf numFmtId="9" fontId="1" fillId="0" borderId="41" xfId="0" applyNumberFormat="1" applyFont="1" applyBorder="1" applyAlignment="1">
      <alignment horizontal="center" vertical="top" wrapText="1"/>
    </xf>
    <xf numFmtId="9" fontId="1" fillId="0" borderId="15" xfId="0" applyNumberFormat="1" applyFont="1" applyBorder="1" applyAlignment="1">
      <alignment horizontal="center" vertical="top" wrapText="1"/>
    </xf>
    <xf numFmtId="9" fontId="1" fillId="0" borderId="16" xfId="0" applyNumberFormat="1" applyFont="1" applyBorder="1" applyAlignment="1">
      <alignment horizontal="center" vertical="top" wrapText="1"/>
    </xf>
    <xf numFmtId="9" fontId="1" fillId="0" borderId="42" xfId="0" applyNumberFormat="1" applyFont="1" applyBorder="1" applyAlignment="1">
      <alignment horizontal="center" vertical="top" wrapText="1"/>
    </xf>
    <xf numFmtId="9" fontId="1" fillId="0" borderId="21" xfId="0" applyNumberFormat="1" applyFont="1" applyBorder="1" applyAlignment="1">
      <alignment horizontal="center" vertical="top" wrapText="1"/>
    </xf>
    <xf numFmtId="9" fontId="1" fillId="0" borderId="22" xfId="0" applyNumberFormat="1" applyFont="1" applyBorder="1" applyAlignment="1">
      <alignment horizontal="center" vertical="top" wrapText="1"/>
    </xf>
    <xf numFmtId="0" fontId="2" fillId="7" borderId="38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7" borderId="4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49" fontId="2" fillId="7" borderId="43" xfId="0" applyNumberFormat="1" applyFont="1" applyFill="1" applyBorder="1" applyAlignment="1">
      <alignment horizontal="center" vertical="top" wrapText="1"/>
    </xf>
    <xf numFmtId="0" fontId="2" fillId="7" borderId="2" xfId="0" applyFont="1" applyFill="1" applyBorder="1" applyAlignment="1">
      <alignment horizontal="center" vertical="top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9" fillId="0" borderId="44" xfId="0" applyFont="1" applyBorder="1" applyAlignment="1">
      <alignment horizontal="center" vertical="center" wrapText="1"/>
    </xf>
    <xf numFmtId="0" fontId="29" fillId="0" borderId="4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7" fillId="0" borderId="46" xfId="0" applyFont="1" applyBorder="1" applyAlignment="1">
      <alignment horizontal="center" vertical="center" wrapText="1"/>
    </xf>
    <xf numFmtId="0" fontId="37" fillId="0" borderId="47" xfId="0" applyFont="1" applyBorder="1" applyAlignment="1">
      <alignment horizontal="center" vertical="center" wrapText="1"/>
    </xf>
    <xf numFmtId="0" fontId="37" fillId="0" borderId="48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2" fillId="7" borderId="43" xfId="0" applyFont="1" applyFill="1" applyBorder="1" applyAlignment="1">
      <alignment horizontal="center" vertical="top" wrapText="1"/>
    </xf>
    <xf numFmtId="0" fontId="1" fillId="0" borderId="0" xfId="1" applyFill="1" applyAlignment="1">
      <alignment vertical="center"/>
    </xf>
    <xf numFmtId="0" fontId="1" fillId="12" borderId="0" xfId="1" applyFill="1" applyAlignment="1">
      <alignment vertical="center"/>
    </xf>
    <xf numFmtId="0" fontId="34" fillId="12" borderId="0" xfId="1" applyFont="1" applyFill="1" applyAlignment="1">
      <alignment vertical="center"/>
    </xf>
    <xf numFmtId="0" fontId="30" fillId="12" borderId="0" xfId="0" applyFont="1" applyFill="1"/>
    <xf numFmtId="0" fontId="1" fillId="12" borderId="0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1" fillId="12" borderId="0" xfId="1" applyFill="1" applyAlignment="1">
      <alignment horizontal="left" vertical="center"/>
    </xf>
    <xf numFmtId="0" fontId="0" fillId="12" borderId="0" xfId="0" applyFill="1" applyAlignment="1">
      <alignment horizontal="center" vertical="center" wrapText="1"/>
    </xf>
    <xf numFmtId="0" fontId="26" fillId="12" borderId="0" xfId="0" applyFont="1" applyFill="1"/>
    <xf numFmtId="0" fontId="30" fillId="12" borderId="0" xfId="1" applyFont="1" applyFill="1" applyAlignment="1">
      <alignment vertical="center"/>
    </xf>
    <xf numFmtId="0" fontId="1" fillId="12" borderId="0" xfId="1" applyFill="1" applyAlignment="1">
      <alignment horizontal="center" vertical="center"/>
    </xf>
    <xf numFmtId="0" fontId="64" fillId="12" borderId="0" xfId="1" applyFont="1" applyFill="1" applyAlignment="1">
      <alignment vertical="center"/>
    </xf>
    <xf numFmtId="0" fontId="31" fillId="12" borderId="0" xfId="1" applyFont="1" applyFill="1" applyAlignment="1">
      <alignment horizontal="right" vertical="center"/>
    </xf>
    <xf numFmtId="0" fontId="32" fillId="12" borderId="0" xfId="0" applyFont="1" applyFill="1" applyAlignment="1">
      <alignment vertical="center"/>
    </xf>
    <xf numFmtId="1" fontId="1" fillId="0" borderId="34" xfId="0" applyNumberFormat="1" applyFont="1" applyFill="1" applyBorder="1" applyAlignment="1">
      <alignment horizontal="center" vertical="center"/>
    </xf>
    <xf numFmtId="0" fontId="20" fillId="13" borderId="37" xfId="0" applyFont="1" applyFill="1" applyBorder="1" applyAlignment="1">
      <alignment horizontal="center" vertical="center" wrapText="1"/>
    </xf>
    <xf numFmtId="9" fontId="1" fillId="0" borderId="40" xfId="0" applyNumberFormat="1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center" wrapText="1"/>
    </xf>
    <xf numFmtId="0" fontId="64" fillId="0" borderId="0" xfId="1" applyFont="1" applyFill="1" applyBorder="1" applyAlignment="1">
      <alignment vertical="center"/>
    </xf>
    <xf numFmtId="0" fontId="31" fillId="0" borderId="0" xfId="1" applyFont="1" applyFill="1" applyBorder="1" applyAlignment="1">
      <alignment horizontal="right" vertical="center"/>
    </xf>
    <xf numFmtId="0" fontId="32" fillId="0" borderId="0" xfId="0" applyFont="1" applyFill="1" applyBorder="1" applyAlignment="1">
      <alignment vertical="center"/>
    </xf>
    <xf numFmtId="0" fontId="34" fillId="0" borderId="0" xfId="1" applyFont="1" applyFill="1" applyBorder="1" applyAlignment="1">
      <alignment vertical="center"/>
    </xf>
    <xf numFmtId="0" fontId="30" fillId="0" borderId="0" xfId="0" applyFont="1" applyFill="1" applyBorder="1"/>
    <xf numFmtId="0" fontId="2" fillId="0" borderId="0" xfId="0" applyFont="1" applyFill="1" applyBorder="1" applyAlignment="1">
      <alignment horizontal="center" vertical="top" wrapText="1"/>
    </xf>
    <xf numFmtId="49" fontId="2" fillId="0" borderId="0" xfId="0" applyNumberFormat="1" applyFont="1" applyFill="1" applyBorder="1" applyAlignment="1">
      <alignment horizontal="center" vertical="top" wrapText="1"/>
    </xf>
    <xf numFmtId="9" fontId="1" fillId="0" borderId="0" xfId="0" applyNumberFormat="1" applyFont="1" applyFill="1" applyBorder="1" applyAlignment="1">
      <alignment horizontal="center" vertical="top" wrapText="1"/>
    </xf>
    <xf numFmtId="0" fontId="30" fillId="0" borderId="0" xfId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26" fillId="0" borderId="0" xfId="0" applyFont="1" applyFill="1" applyBorder="1"/>
    <xf numFmtId="0" fontId="1" fillId="0" borderId="0" xfId="1" applyFill="1" applyBorder="1" applyAlignment="1">
      <alignment horizontal="left" vertical="center"/>
    </xf>
    <xf numFmtId="0" fontId="37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65" fillId="0" borderId="0" xfId="0" applyFont="1"/>
    <xf numFmtId="177" fontId="20" fillId="0" borderId="23" xfId="0" applyNumberFormat="1" applyFont="1" applyBorder="1" applyAlignment="1">
      <alignment horizontal="center" vertical="center" wrapText="1"/>
    </xf>
    <xf numFmtId="177" fontId="20" fillId="0" borderId="25" xfId="0" applyNumberFormat="1" applyFont="1" applyBorder="1" applyAlignment="1">
      <alignment horizontal="center" vertical="center" wrapText="1"/>
    </xf>
    <xf numFmtId="177" fontId="20" fillId="0" borderId="26" xfId="0" applyNumberFormat="1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1" fontId="20" fillId="0" borderId="23" xfId="0" applyNumberFormat="1" applyFont="1" applyBorder="1" applyAlignment="1">
      <alignment horizontal="center" vertical="center" wrapText="1"/>
    </xf>
    <xf numFmtId="1" fontId="20" fillId="0" borderId="25" xfId="0" applyNumberFormat="1" applyFont="1" applyBorder="1" applyAlignment="1">
      <alignment horizontal="center" vertical="center" wrapText="1"/>
    </xf>
    <xf numFmtId="1" fontId="22" fillId="10" borderId="50" xfId="0" applyNumberFormat="1" applyFont="1" applyFill="1" applyBorder="1" applyAlignment="1">
      <alignment horizontal="center" vertical="center" wrapText="1"/>
    </xf>
    <xf numFmtId="1" fontId="22" fillId="10" borderId="6" xfId="0" applyNumberFormat="1" applyFont="1" applyFill="1" applyBorder="1" applyAlignment="1">
      <alignment horizontal="center" vertical="center" wrapText="1"/>
    </xf>
    <xf numFmtId="1" fontId="22" fillId="11" borderId="50" xfId="0" applyNumberFormat="1" applyFont="1" applyFill="1" applyBorder="1" applyAlignment="1">
      <alignment horizontal="center" vertical="center" wrapText="1"/>
    </xf>
    <xf numFmtId="1" fontId="22" fillId="11" borderId="6" xfId="0" applyNumberFormat="1" applyFont="1" applyFill="1" applyBorder="1" applyAlignment="1">
      <alignment horizontal="center" vertical="center" wrapText="1"/>
    </xf>
    <xf numFmtId="1" fontId="20" fillId="0" borderId="51" xfId="0" applyNumberFormat="1" applyFont="1" applyBorder="1" applyAlignment="1">
      <alignment horizontal="center" vertical="center" wrapText="1"/>
    </xf>
    <xf numFmtId="1" fontId="20" fillId="0" borderId="9" xfId="0" applyNumberFormat="1" applyFont="1" applyBorder="1" applyAlignment="1">
      <alignment horizontal="center" vertical="center" wrapText="1"/>
    </xf>
    <xf numFmtId="0" fontId="2" fillId="0" borderId="0" xfId="1" applyFont="1" applyFill="1" applyBorder="1" applyAlignment="1">
      <alignment vertical="center"/>
    </xf>
    <xf numFmtId="1" fontId="20" fillId="0" borderId="30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wrapText="1"/>
    </xf>
    <xf numFmtId="0" fontId="1" fillId="0" borderId="52" xfId="1" applyBorder="1" applyAlignment="1">
      <alignment vertical="center"/>
    </xf>
    <xf numFmtId="0" fontId="1" fillId="0" borderId="52" xfId="1" applyFill="1" applyBorder="1" applyAlignment="1">
      <alignment vertical="center"/>
    </xf>
    <xf numFmtId="0" fontId="1" fillId="0" borderId="5" xfId="1" applyFill="1" applyBorder="1" applyAlignment="1">
      <alignment vertical="center"/>
    </xf>
    <xf numFmtId="0" fontId="1" fillId="0" borderId="35" xfId="1" applyBorder="1" applyAlignment="1">
      <alignment vertical="center"/>
    </xf>
    <xf numFmtId="0" fontId="30" fillId="0" borderId="35" xfId="0" applyFont="1" applyBorder="1" applyAlignment="1">
      <alignment wrapText="1"/>
    </xf>
    <xf numFmtId="0" fontId="0" fillId="0" borderId="35" xfId="0" applyFill="1" applyBorder="1" applyAlignment="1">
      <alignment horizontal="center" vertical="center"/>
    </xf>
    <xf numFmtId="0" fontId="1" fillId="0" borderId="31" xfId="1" applyFill="1" applyBorder="1" applyAlignment="1">
      <alignment horizontal="left" vertical="center"/>
    </xf>
    <xf numFmtId="0" fontId="1" fillId="0" borderId="4" xfId="1" applyFill="1" applyBorder="1" applyAlignment="1">
      <alignment horizontal="left" vertical="center"/>
    </xf>
    <xf numFmtId="0" fontId="1" fillId="0" borderId="4" xfId="1" applyFill="1" applyBorder="1" applyAlignment="1">
      <alignment vertical="center"/>
    </xf>
    <xf numFmtId="0" fontId="1" fillId="0" borderId="32" xfId="1" applyFill="1" applyBorder="1" applyAlignment="1">
      <alignment vertical="center"/>
    </xf>
    <xf numFmtId="0" fontId="30" fillId="0" borderId="53" xfId="0" applyFont="1" applyBorder="1" applyAlignment="1">
      <alignment wrapText="1"/>
    </xf>
    <xf numFmtId="0" fontId="1" fillId="0" borderId="54" xfId="1" applyBorder="1" applyAlignment="1">
      <alignment vertical="center"/>
    </xf>
    <xf numFmtId="0" fontId="30" fillId="0" borderId="55" xfId="0" applyFont="1" applyBorder="1" applyAlignment="1">
      <alignment wrapText="1"/>
    </xf>
    <xf numFmtId="0" fontId="1" fillId="0" borderId="56" xfId="1" applyBorder="1" applyAlignment="1">
      <alignment vertical="center"/>
    </xf>
    <xf numFmtId="0" fontId="1" fillId="0" borderId="57" xfId="1" applyFill="1" applyBorder="1" applyAlignment="1">
      <alignment vertical="center"/>
    </xf>
    <xf numFmtId="0" fontId="30" fillId="0" borderId="54" xfId="0" applyFont="1" applyBorder="1" applyAlignment="1">
      <alignment wrapText="1"/>
    </xf>
    <xf numFmtId="0" fontId="1" fillId="0" borderId="58" xfId="1" applyFill="1" applyBorder="1" applyAlignment="1">
      <alignment vertical="center"/>
    </xf>
    <xf numFmtId="0" fontId="1" fillId="0" borderId="56" xfId="1" applyFill="1" applyBorder="1" applyAlignment="1">
      <alignment vertical="center"/>
    </xf>
    <xf numFmtId="0" fontId="1" fillId="0" borderId="57" xfId="1" applyBorder="1" applyAlignment="1">
      <alignment horizontal="center" vertical="center"/>
    </xf>
    <xf numFmtId="9" fontId="41" fillId="0" borderId="59" xfId="0" applyNumberFormat="1" applyFont="1" applyFill="1" applyBorder="1" applyAlignment="1">
      <alignment horizontal="left" vertical="top" wrapText="1"/>
    </xf>
    <xf numFmtId="0" fontId="41" fillId="0" borderId="58" xfId="1" applyFont="1" applyFill="1" applyBorder="1" applyAlignment="1">
      <alignment vertical="center"/>
    </xf>
    <xf numFmtId="0" fontId="1" fillId="0" borderId="56" xfId="1" applyBorder="1" applyAlignment="1">
      <alignment horizontal="center" vertical="center"/>
    </xf>
    <xf numFmtId="0" fontId="1" fillId="0" borderId="60" xfId="1" applyBorder="1" applyAlignment="1">
      <alignment vertical="center"/>
    </xf>
    <xf numFmtId="0" fontId="30" fillId="0" borderId="61" xfId="0" applyFont="1" applyBorder="1" applyAlignment="1">
      <alignment wrapText="1"/>
    </xf>
    <xf numFmtId="0" fontId="30" fillId="0" borderId="29" xfId="0" applyFont="1" applyBorder="1" applyAlignment="1">
      <alignment wrapText="1"/>
    </xf>
    <xf numFmtId="0" fontId="30" fillId="0" borderId="62" xfId="0" applyFont="1" applyBorder="1" applyAlignment="1">
      <alignment wrapText="1"/>
    </xf>
    <xf numFmtId="9" fontId="41" fillId="0" borderId="40" xfId="0" applyNumberFormat="1" applyFont="1" applyFill="1" applyBorder="1" applyAlignment="1">
      <alignment horizontal="left" wrapText="1"/>
    </xf>
    <xf numFmtId="0" fontId="1" fillId="0" borderId="57" xfId="1" applyBorder="1" applyAlignment="1">
      <alignment horizontal="right" vertical="center"/>
    </xf>
    <xf numFmtId="0" fontId="1" fillId="0" borderId="0" xfId="1" applyBorder="1" applyAlignment="1">
      <alignment horizontal="right" vertical="center"/>
    </xf>
    <xf numFmtId="9" fontId="41" fillId="0" borderId="59" xfId="0" applyNumberFormat="1" applyFont="1" applyFill="1" applyBorder="1" applyAlignment="1">
      <alignment horizontal="left" vertical="top" wrapText="1" indent="1"/>
    </xf>
    <xf numFmtId="0" fontId="1" fillId="0" borderId="4" xfId="1" applyBorder="1" applyAlignment="1">
      <alignment horizontal="right" vertical="center"/>
    </xf>
    <xf numFmtId="9" fontId="41" fillId="0" borderId="49" xfId="0" applyNumberFormat="1" applyFont="1" applyFill="1" applyBorder="1" applyAlignment="1">
      <alignment horizontal="left" wrapText="1" indent="1"/>
    </xf>
    <xf numFmtId="0" fontId="1" fillId="12" borderId="0" xfId="1" applyFill="1" applyBorder="1" applyAlignment="1">
      <alignment vertical="center"/>
    </xf>
    <xf numFmtId="0" fontId="64" fillId="12" borderId="0" xfId="1" applyFont="1" applyFill="1" applyBorder="1" applyAlignment="1">
      <alignment vertical="center"/>
    </xf>
    <xf numFmtId="0" fontId="31" fillId="12" borderId="0" xfId="1" applyFont="1" applyFill="1" applyBorder="1" applyAlignment="1">
      <alignment horizontal="right" vertical="center"/>
    </xf>
    <xf numFmtId="0" fontId="2" fillId="12" borderId="0" xfId="0" applyFont="1" applyFill="1" applyBorder="1" applyAlignment="1">
      <alignment horizontal="center" vertical="center" wrapText="1"/>
    </xf>
    <xf numFmtId="0" fontId="37" fillId="12" borderId="0" xfId="0" applyFont="1" applyFill="1" applyBorder="1" applyAlignment="1">
      <alignment horizontal="center" vertical="center" wrapText="1"/>
    </xf>
    <xf numFmtId="0" fontId="0" fillId="12" borderId="0" xfId="0" applyFill="1" applyBorder="1" applyAlignment="1">
      <alignment vertical="center"/>
    </xf>
    <xf numFmtId="0" fontId="1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49" fontId="0" fillId="12" borderId="0" xfId="0" applyNumberForma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1" fillId="0" borderId="6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vertical="center" wrapText="1"/>
    </xf>
    <xf numFmtId="0" fontId="0" fillId="12" borderId="0" xfId="0" applyFill="1" applyBorder="1" applyAlignment="1">
      <alignment vertical="center" wrapText="1"/>
    </xf>
    <xf numFmtId="0" fontId="3" fillId="12" borderId="0" xfId="1" applyFont="1" applyFill="1" applyAlignment="1">
      <alignment vertical="center"/>
    </xf>
    <xf numFmtId="0" fontId="66" fillId="12" borderId="0" xfId="0" applyFont="1" applyFill="1" applyAlignment="1">
      <alignment horizontal="left" vertical="center"/>
    </xf>
    <xf numFmtId="0" fontId="3" fillId="12" borderId="0" xfId="1" applyFont="1" applyFill="1" applyAlignment="1">
      <alignment horizontal="left" vertical="center"/>
    </xf>
    <xf numFmtId="0" fontId="66" fillId="12" borderId="0" xfId="0" applyFont="1" applyFill="1" applyAlignment="1">
      <alignment vertical="center"/>
    </xf>
    <xf numFmtId="0" fontId="1" fillId="0" borderId="4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" fillId="12" borderId="0" xfId="0" applyFont="1" applyFill="1"/>
    <xf numFmtId="177" fontId="2" fillId="8" borderId="31" xfId="0" applyNumberFormat="1" applyFont="1" applyFill="1" applyBorder="1" applyAlignment="1" applyProtection="1">
      <alignment horizontal="center" vertical="center"/>
      <protection locked="0"/>
    </xf>
    <xf numFmtId="1" fontId="22" fillId="9" borderId="23" xfId="0" applyNumberFormat="1" applyFont="1" applyFill="1" applyBorder="1" applyAlignment="1">
      <alignment horizontal="center" vertical="center" wrapText="1"/>
    </xf>
    <xf numFmtId="1" fontId="22" fillId="9" borderId="25" xfId="0" applyNumberFormat="1" applyFont="1" applyFill="1" applyBorder="1" applyAlignment="1">
      <alignment horizontal="center" vertical="center" wrapText="1"/>
    </xf>
    <xf numFmtId="1" fontId="22" fillId="9" borderId="24" xfId="0" applyNumberFormat="1" applyFont="1" applyFill="1" applyBorder="1" applyAlignment="1">
      <alignment horizontal="center" vertical="center" wrapText="1"/>
    </xf>
    <xf numFmtId="1" fontId="22" fillId="9" borderId="9" xfId="0" applyNumberFormat="1" applyFont="1" applyFill="1" applyBorder="1" applyAlignment="1">
      <alignment horizontal="center" vertical="center" wrapText="1"/>
    </xf>
    <xf numFmtId="0" fontId="1" fillId="0" borderId="63" xfId="1" applyFont="1" applyFill="1" applyBorder="1" applyAlignment="1">
      <alignment vertical="center"/>
    </xf>
    <xf numFmtId="0" fontId="1" fillId="0" borderId="64" xfId="1" applyFont="1" applyFill="1" applyBorder="1" applyAlignment="1">
      <alignment vertical="center"/>
    </xf>
    <xf numFmtId="0" fontId="1" fillId="0" borderId="65" xfId="1" applyFont="1" applyFill="1" applyBorder="1" applyAlignment="1">
      <alignment vertical="center"/>
    </xf>
    <xf numFmtId="0" fontId="2" fillId="0" borderId="49" xfId="1" applyFont="1" applyFill="1" applyBorder="1" applyAlignment="1">
      <alignment horizontal="center" vertical="center"/>
    </xf>
    <xf numFmtId="2" fontId="2" fillId="8" borderId="8" xfId="0" applyNumberFormat="1" applyFont="1" applyFill="1" applyBorder="1" applyAlignment="1">
      <alignment horizontal="center" vertical="center"/>
    </xf>
    <xf numFmtId="0" fontId="1" fillId="7" borderId="43" xfId="0" applyFont="1" applyFill="1" applyBorder="1" applyAlignment="1">
      <alignment horizontal="center" vertical="center" wrapText="1"/>
    </xf>
    <xf numFmtId="0" fontId="1" fillId="7" borderId="39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0" fillId="0" borderId="66" xfId="0" applyBorder="1" applyAlignment="1">
      <alignment horizontal="center" vertical="center"/>
    </xf>
    <xf numFmtId="0" fontId="1" fillId="0" borderId="66" xfId="1" applyBorder="1" applyAlignment="1">
      <alignment horizontal="center" vertical="center"/>
    </xf>
    <xf numFmtId="0" fontId="3" fillId="0" borderId="31" xfId="0" applyFont="1" applyBorder="1" applyAlignment="1">
      <alignment horizontal="center" vertical="top"/>
    </xf>
    <xf numFmtId="0" fontId="3" fillId="0" borderId="31" xfId="1" applyFont="1" applyBorder="1" applyAlignment="1">
      <alignment horizontal="center" vertical="top"/>
    </xf>
    <xf numFmtId="0" fontId="3" fillId="0" borderId="8" xfId="1" applyFont="1" applyFill="1" applyBorder="1" applyAlignment="1">
      <alignment horizontal="center" vertical="top"/>
    </xf>
    <xf numFmtId="0" fontId="67" fillId="4" borderId="52" xfId="0" applyFont="1" applyFill="1" applyBorder="1" applyAlignment="1">
      <alignment horizontal="center" vertical="center" wrapText="1"/>
    </xf>
    <xf numFmtId="0" fontId="6" fillId="0" borderId="0" xfId="1" applyFont="1" applyAlignment="1">
      <alignment horizontal="right" vertical="top"/>
    </xf>
    <xf numFmtId="0" fontId="68" fillId="4" borderId="52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left" vertical="center" wrapText="1"/>
    </xf>
    <xf numFmtId="0" fontId="42" fillId="0" borderId="0" xfId="1" applyFont="1" applyAlignment="1">
      <alignment vertical="center"/>
    </xf>
    <xf numFmtId="0" fontId="46" fillId="0" borderId="0" xfId="0" applyFont="1" applyFill="1" applyBorder="1" applyAlignment="1">
      <alignment horizontal="center" vertical="center" wrapText="1"/>
    </xf>
    <xf numFmtId="0" fontId="46" fillId="13" borderId="37" xfId="0" applyFont="1" applyFill="1" applyBorder="1" applyAlignment="1">
      <alignment horizontal="center" vertical="center" wrapText="1"/>
    </xf>
    <xf numFmtId="0" fontId="67" fillId="4" borderId="23" xfId="0" applyFont="1" applyFill="1" applyBorder="1" applyAlignment="1">
      <alignment horizontal="center" vertical="center" wrapText="1"/>
    </xf>
    <xf numFmtId="0" fontId="68" fillId="4" borderId="9" xfId="0" applyFont="1" applyFill="1" applyBorder="1" applyAlignment="1">
      <alignment horizontal="center" vertical="center" wrapText="1"/>
    </xf>
    <xf numFmtId="0" fontId="69" fillId="5" borderId="23" xfId="0" applyFont="1" applyFill="1" applyBorder="1" applyAlignment="1">
      <alignment horizontal="center" vertical="center" wrapText="1"/>
    </xf>
    <xf numFmtId="0" fontId="70" fillId="5" borderId="9" xfId="0" applyFont="1" applyFill="1" applyBorder="1" applyAlignment="1">
      <alignment horizontal="center" vertical="center" wrapText="1"/>
    </xf>
    <xf numFmtId="0" fontId="69" fillId="5" borderId="52" xfId="0" applyFont="1" applyFill="1" applyBorder="1" applyAlignment="1">
      <alignment horizontal="center" vertical="center" wrapText="1"/>
    </xf>
    <xf numFmtId="0" fontId="70" fillId="5" borderId="52" xfId="0" applyFont="1" applyFill="1" applyBorder="1" applyAlignment="1">
      <alignment horizontal="center" vertical="center" wrapText="1"/>
    </xf>
    <xf numFmtId="0" fontId="71" fillId="6" borderId="52" xfId="1" applyFont="1" applyFill="1" applyBorder="1" applyAlignment="1">
      <alignment horizontal="center" vertical="center"/>
    </xf>
    <xf numFmtId="0" fontId="71" fillId="6" borderId="52" xfId="1" applyFont="1" applyFill="1" applyBorder="1" applyAlignment="1">
      <alignment vertical="center"/>
    </xf>
    <xf numFmtId="0" fontId="72" fillId="6" borderId="5" xfId="1" applyFont="1" applyFill="1" applyBorder="1" applyAlignment="1">
      <alignment vertical="center"/>
    </xf>
    <xf numFmtId="0" fontId="73" fillId="6" borderId="52" xfId="1" applyFont="1" applyFill="1" applyBorder="1" applyAlignment="1">
      <alignment horizontal="center" vertical="center"/>
    </xf>
    <xf numFmtId="0" fontId="73" fillId="6" borderId="52" xfId="1" applyFont="1" applyFill="1" applyBorder="1" applyAlignment="1">
      <alignment vertical="center"/>
    </xf>
    <xf numFmtId="0" fontId="74" fillId="6" borderId="5" xfId="1" applyFont="1" applyFill="1" applyBorder="1" applyAlignment="1">
      <alignment vertical="center"/>
    </xf>
    <xf numFmtId="0" fontId="73" fillId="6" borderId="23" xfId="1" applyFont="1" applyFill="1" applyBorder="1" applyAlignment="1">
      <alignment horizontal="center" vertical="center"/>
    </xf>
    <xf numFmtId="0" fontId="71" fillId="3" borderId="9" xfId="0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0" fillId="0" borderId="0" xfId="0"/>
    <xf numFmtId="0" fontId="68" fillId="4" borderId="1" xfId="0" applyFont="1" applyFill="1" applyBorder="1" applyAlignment="1">
      <alignment horizontal="right" vertical="center" wrapText="1"/>
    </xf>
    <xf numFmtId="0" fontId="76" fillId="0" borderId="52" xfId="0" applyFont="1" applyBorder="1" applyAlignment="1">
      <alignment horizontal="right" vertical="center" wrapText="1"/>
    </xf>
    <xf numFmtId="0" fontId="68" fillId="4" borderId="52" xfId="0" applyFont="1" applyFill="1" applyBorder="1" applyAlignment="1">
      <alignment horizontal="left" vertical="center" wrapText="1"/>
    </xf>
    <xf numFmtId="0" fontId="76" fillId="0" borderId="5" xfId="0" applyFont="1" applyBorder="1" applyAlignment="1">
      <alignment horizontal="left" vertical="center" wrapText="1"/>
    </xf>
    <xf numFmtId="0" fontId="70" fillId="5" borderId="1" xfId="0" applyFont="1" applyFill="1" applyBorder="1" applyAlignment="1">
      <alignment horizontal="right" vertical="center" wrapText="1"/>
    </xf>
    <xf numFmtId="0" fontId="70" fillId="5" borderId="52" xfId="0" applyFont="1" applyFill="1" applyBorder="1" applyAlignment="1">
      <alignment horizontal="right" vertical="center" wrapText="1"/>
    </xf>
    <xf numFmtId="0" fontId="70" fillId="5" borderId="52" xfId="0" applyFont="1" applyFill="1" applyBorder="1" applyAlignment="1">
      <alignment horizontal="center" vertical="center" wrapText="1"/>
    </xf>
    <xf numFmtId="0" fontId="70" fillId="5" borderId="5" xfId="0" applyFont="1" applyFill="1" applyBorder="1" applyAlignment="1">
      <alignment horizontal="center" vertical="center" wrapText="1"/>
    </xf>
    <xf numFmtId="0" fontId="71" fillId="3" borderId="1" xfId="0" applyFont="1" applyFill="1" applyBorder="1" applyAlignment="1">
      <alignment horizontal="right" vertical="center" wrapText="1"/>
    </xf>
    <xf numFmtId="0" fontId="71" fillId="3" borderId="52" xfId="0" applyFont="1" applyFill="1" applyBorder="1" applyAlignment="1">
      <alignment horizontal="right" vertical="center" wrapText="1"/>
    </xf>
    <xf numFmtId="0" fontId="2" fillId="0" borderId="0" xfId="0" applyFont="1" applyFill="1" applyBorder="1" applyAlignment="1">
      <alignment horizontal="center" vertical="top" wrapText="1"/>
    </xf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20" fillId="13" borderId="37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14" borderId="5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52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2" fillId="0" borderId="66" xfId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top" wrapText="1"/>
    </xf>
    <xf numFmtId="0" fontId="0" fillId="15" borderId="5" xfId="0" applyFill="1" applyBorder="1" applyAlignment="1"/>
    <xf numFmtId="0" fontId="2" fillId="15" borderId="35" xfId="0" applyFont="1" applyFill="1" applyBorder="1" applyAlignment="1">
      <alignment horizontal="center" vertical="top" wrapText="1"/>
    </xf>
    <xf numFmtId="0" fontId="0" fillId="15" borderId="65" xfId="0" applyFill="1" applyBorder="1" applyAlignment="1"/>
    <xf numFmtId="0" fontId="2" fillId="15" borderId="31" xfId="0" applyFont="1" applyFill="1" applyBorder="1" applyAlignment="1">
      <alignment horizontal="center" vertical="top" wrapText="1"/>
    </xf>
    <xf numFmtId="0" fontId="0" fillId="15" borderId="32" xfId="0" applyFill="1" applyBorder="1" applyAlignment="1"/>
    <xf numFmtId="0" fontId="69" fillId="5" borderId="1" xfId="0" applyFont="1" applyFill="1" applyBorder="1" applyAlignment="1">
      <alignment horizontal="right" vertical="center" wrapText="1"/>
    </xf>
    <xf numFmtId="0" fontId="69" fillId="5" borderId="52" xfId="0" applyFont="1" applyFill="1" applyBorder="1" applyAlignment="1">
      <alignment horizontal="right" vertical="center" wrapText="1"/>
    </xf>
    <xf numFmtId="0" fontId="73" fillId="3" borderId="1" xfId="0" applyFont="1" applyFill="1" applyBorder="1" applyAlignment="1">
      <alignment horizontal="right" vertical="center" wrapText="1"/>
    </xf>
    <xf numFmtId="0" fontId="73" fillId="3" borderId="52" xfId="0" applyFont="1" applyFill="1" applyBorder="1" applyAlignment="1">
      <alignment horizontal="right" vertical="center" wrapText="1"/>
    </xf>
    <xf numFmtId="0" fontId="67" fillId="4" borderId="1" xfId="0" applyFont="1" applyFill="1" applyBorder="1" applyAlignment="1">
      <alignment horizontal="right" vertical="center" wrapText="1"/>
    </xf>
    <xf numFmtId="0" fontId="77" fillId="0" borderId="52" xfId="0" applyFont="1" applyBorder="1" applyAlignment="1">
      <alignment horizontal="right" vertical="center" wrapText="1"/>
    </xf>
    <xf numFmtId="0" fontId="67" fillId="4" borderId="52" xfId="0" applyFont="1" applyFill="1" applyBorder="1" applyAlignment="1">
      <alignment horizontal="left" vertical="center" wrapText="1"/>
    </xf>
    <xf numFmtId="0" fontId="77" fillId="0" borderId="5" xfId="0" applyFont="1" applyBorder="1" applyAlignment="1">
      <alignment horizontal="left" vertical="center" wrapText="1"/>
    </xf>
    <xf numFmtId="0" fontId="69" fillId="5" borderId="52" xfId="0" applyFont="1" applyFill="1" applyBorder="1" applyAlignment="1">
      <alignment horizontal="center" vertical="center" wrapText="1"/>
    </xf>
    <xf numFmtId="0" fontId="69" fillId="5" borderId="5" xfId="0" applyFont="1" applyFill="1" applyBorder="1" applyAlignment="1">
      <alignment horizontal="center" vertical="center" wrapText="1"/>
    </xf>
    <xf numFmtId="0" fontId="2" fillId="15" borderId="14" xfId="0" applyFont="1" applyFill="1" applyBorder="1" applyAlignment="1">
      <alignment horizontal="center" vertical="center" wrapText="1"/>
    </xf>
    <xf numFmtId="0" fontId="0" fillId="15" borderId="16" xfId="0" applyFill="1" applyBorder="1" applyAlignment="1">
      <alignment horizontal="center" vertical="center" wrapText="1"/>
    </xf>
    <xf numFmtId="0" fontId="0" fillId="15" borderId="20" xfId="0" applyFill="1" applyBorder="1" applyAlignment="1">
      <alignment horizontal="center" vertical="center" wrapText="1"/>
    </xf>
    <xf numFmtId="0" fontId="0" fillId="15" borderId="22" xfId="0" applyFill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" fillId="0" borderId="18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 wrapText="1"/>
    </xf>
    <xf numFmtId="0" fontId="0" fillId="15" borderId="19" xfId="0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2" fillId="15" borderId="38" xfId="0" applyFont="1" applyFill="1" applyBorder="1" applyAlignment="1">
      <alignment horizontal="center" vertical="center" wrapText="1"/>
    </xf>
    <xf numFmtId="0" fontId="0" fillId="15" borderId="67" xfId="0" applyFill="1" applyBorder="1" applyAlignment="1">
      <alignment vertical="center"/>
    </xf>
    <xf numFmtId="0" fontId="2" fillId="15" borderId="17" xfId="0" applyFont="1" applyFill="1" applyBorder="1" applyAlignment="1">
      <alignment horizontal="center" vertical="center" wrapText="1"/>
    </xf>
    <xf numFmtId="0" fontId="0" fillId="15" borderId="55" xfId="0" applyFill="1" applyBorder="1" applyAlignment="1">
      <alignment vertical="center"/>
    </xf>
    <xf numFmtId="0" fontId="0" fillId="15" borderId="20" xfId="0" applyFill="1" applyBorder="1" applyAlignment="1">
      <alignment vertical="center"/>
    </xf>
    <xf numFmtId="0" fontId="0" fillId="15" borderId="68" xfId="0" applyFill="1" applyBorder="1" applyAlignment="1">
      <alignment vertical="center"/>
    </xf>
    <xf numFmtId="0" fontId="1" fillId="12" borderId="0" xfId="0" applyFont="1" applyFill="1" applyAlignment="1">
      <alignment vertical="center" wrapText="1"/>
    </xf>
    <xf numFmtId="0" fontId="0" fillId="12" borderId="0" xfId="0" applyFill="1" applyAlignment="1">
      <alignment vertical="center" wrapText="1"/>
    </xf>
    <xf numFmtId="0" fontId="2" fillId="15" borderId="38" xfId="0" applyFont="1" applyFill="1" applyBorder="1" applyAlignment="1">
      <alignment horizontal="center" vertical="top" wrapText="1"/>
    </xf>
    <xf numFmtId="0" fontId="0" fillId="15" borderId="34" xfId="0" applyFill="1" applyBorder="1" applyAlignment="1"/>
    <xf numFmtId="0" fontId="2" fillId="15" borderId="6" xfId="0" applyFont="1" applyFill="1" applyBorder="1" applyAlignment="1">
      <alignment horizontal="center" vertical="top" wrapText="1"/>
    </xf>
    <xf numFmtId="0" fontId="0" fillId="15" borderId="8" xfId="0" applyFill="1" applyBorder="1" applyAlignment="1"/>
    <xf numFmtId="0" fontId="0" fillId="0" borderId="0" xfId="0" applyAlignment="1">
      <alignment vertic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" fillId="0" borderId="36" xfId="0" applyFon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0" fillId="0" borderId="50" xfId="0" applyBorder="1" applyAlignment="1">
      <alignment vertical="center"/>
    </xf>
    <xf numFmtId="0" fontId="0" fillId="0" borderId="45" xfId="0" applyBorder="1" applyAlignment="1">
      <alignment vertical="center"/>
    </xf>
    <xf numFmtId="9" fontId="1" fillId="0" borderId="33" xfId="0" applyNumberFormat="1" applyFont="1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1" fillId="0" borderId="0" xfId="1" applyFont="1" applyFill="1" applyBorder="1" applyAlignment="1">
      <alignment horizontal="center" vertical="center"/>
    </xf>
    <xf numFmtId="0" fontId="45" fillId="0" borderId="65" xfId="1" applyFont="1" applyBorder="1" applyAlignment="1">
      <alignment horizontal="left" vertical="center"/>
    </xf>
    <xf numFmtId="0" fontId="45" fillId="0" borderId="65" xfId="0" applyFont="1" applyBorder="1" applyAlignment="1">
      <alignment vertical="center"/>
    </xf>
    <xf numFmtId="0" fontId="1" fillId="15" borderId="37" xfId="0" applyFont="1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wrapText="1"/>
    </xf>
    <xf numFmtId="0" fontId="0" fillId="0" borderId="52" xfId="0" applyBorder="1" applyAlignment="1"/>
    <xf numFmtId="0" fontId="0" fillId="0" borderId="5" xfId="0" applyBorder="1" applyAlignment="1"/>
    <xf numFmtId="0" fontId="3" fillId="7" borderId="35" xfId="0" applyFont="1" applyFill="1" applyBorder="1" applyAlignment="1">
      <alignment horizontal="center" wrapText="1"/>
    </xf>
    <xf numFmtId="0" fontId="0" fillId="0" borderId="0" xfId="0" applyBorder="1" applyAlignment="1"/>
    <xf numFmtId="0" fontId="0" fillId="0" borderId="58" xfId="0" applyBorder="1" applyAlignment="1"/>
    <xf numFmtId="0" fontId="3" fillId="7" borderId="54" xfId="0" applyFont="1" applyFill="1" applyBorder="1" applyAlignment="1">
      <alignment horizontal="center" wrapText="1"/>
    </xf>
    <xf numFmtId="0" fontId="0" fillId="0" borderId="65" xfId="0" applyBorder="1" applyAlignment="1"/>
    <xf numFmtId="0" fontId="66" fillId="12" borderId="4" xfId="0" applyFont="1" applyFill="1" applyBorder="1" applyAlignment="1">
      <alignment horizontal="center" vertical="center"/>
    </xf>
    <xf numFmtId="0" fontId="42" fillId="12" borderId="4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5" fillId="0" borderId="58" xfId="1" applyFont="1" applyBorder="1" applyAlignment="1">
      <alignment horizontal="left" vertical="center"/>
    </xf>
    <xf numFmtId="0" fontId="1" fillId="0" borderId="0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10" borderId="5" xfId="0" applyFont="1" applyFill="1" applyBorder="1" applyAlignment="1">
      <alignment horizontal="left" vertical="center" wrapText="1"/>
    </xf>
    <xf numFmtId="0" fontId="2" fillId="0" borderId="65" xfId="0" applyFont="1" applyBorder="1" applyAlignment="1">
      <alignment horizontal="left" vertical="center" wrapText="1"/>
    </xf>
    <xf numFmtId="0" fontId="0" fillId="0" borderId="63" xfId="0" applyBorder="1" applyAlignment="1">
      <alignment horizontal="left" vertical="center"/>
    </xf>
    <xf numFmtId="0" fontId="2" fillId="10" borderId="64" xfId="0" applyFont="1" applyFill="1" applyBorder="1" applyAlignment="1">
      <alignment horizontal="left" vertical="center" wrapText="1"/>
    </xf>
    <xf numFmtId="0" fontId="0" fillId="0" borderId="65" xfId="0" applyBorder="1" applyAlignment="1">
      <alignment horizontal="left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0" fillId="0" borderId="51" xfId="0" applyBorder="1" applyAlignment="1">
      <alignment vertical="center"/>
    </xf>
    <xf numFmtId="0" fontId="2" fillId="7" borderId="71" xfId="0" applyFont="1" applyFill="1" applyBorder="1" applyAlignment="1">
      <alignment horizontal="center" vertical="center" wrapText="1"/>
    </xf>
    <xf numFmtId="0" fontId="0" fillId="0" borderId="72" xfId="0" applyBorder="1" applyAlignment="1">
      <alignment vertical="center"/>
    </xf>
    <xf numFmtId="0" fontId="0" fillId="0" borderId="59" xfId="0" applyBorder="1" applyAlignment="1">
      <alignment vertical="center"/>
    </xf>
    <xf numFmtId="0" fontId="0" fillId="0" borderId="53" xfId="0" applyBorder="1" applyAlignment="1">
      <alignment vertical="center"/>
    </xf>
    <xf numFmtId="0" fontId="1" fillId="10" borderId="62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31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2" xfId="0" applyBorder="1" applyAlignment="1">
      <alignment horizontal="left" vertical="center"/>
    </xf>
    <xf numFmtId="0" fontId="43" fillId="0" borderId="58" xfId="1" applyFont="1" applyFill="1" applyBorder="1" applyAlignment="1">
      <alignment horizontal="left" vertical="center" wrapText="1" indent="1"/>
    </xf>
    <xf numFmtId="0" fontId="0" fillId="0" borderId="58" xfId="0" applyBorder="1" applyAlignment="1">
      <alignment horizontal="left" vertical="center" wrapText="1" indent="1"/>
    </xf>
    <xf numFmtId="0" fontId="0" fillId="0" borderId="29" xfId="0" applyBorder="1" applyAlignment="1">
      <alignment vertical="center"/>
    </xf>
    <xf numFmtId="0" fontId="0" fillId="0" borderId="56" xfId="0" applyBorder="1" applyAlignment="1">
      <alignment vertical="center"/>
    </xf>
    <xf numFmtId="0" fontId="1" fillId="0" borderId="33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9" fontId="1" fillId="0" borderId="36" xfId="0" applyNumberFormat="1" applyFont="1" applyBorder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5" borderId="39" xfId="0" applyFill="1" applyBorder="1" applyAlignment="1">
      <alignment vertical="center"/>
    </xf>
    <xf numFmtId="0" fontId="0" fillId="15" borderId="34" xfId="0" applyFill="1" applyBorder="1" applyAlignment="1">
      <alignment vertical="center"/>
    </xf>
    <xf numFmtId="0" fontId="2" fillId="15" borderId="6" xfId="0" applyFont="1" applyFill="1" applyBorder="1" applyAlignment="1">
      <alignment horizontal="center" vertical="center" wrapText="1"/>
    </xf>
    <xf numFmtId="0" fontId="0" fillId="15" borderId="7" xfId="0" applyFill="1" applyBorder="1" applyAlignment="1">
      <alignment vertical="center"/>
    </xf>
    <xf numFmtId="0" fontId="0" fillId="15" borderId="8" xfId="0" applyFill="1" applyBorder="1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4" fillId="0" borderId="0" xfId="1" applyFont="1" applyBorder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176" fontId="2" fillId="0" borderId="0" xfId="1" applyNumberFormat="1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left" vertical="center" wrapText="1" indent="80"/>
    </xf>
    <xf numFmtId="0" fontId="2" fillId="7" borderId="52" xfId="1" applyFont="1" applyFill="1" applyBorder="1" applyAlignment="1">
      <alignment horizontal="left" vertical="center" indent="80"/>
    </xf>
    <xf numFmtId="0" fontId="1" fillId="7" borderId="52" xfId="1" applyFill="1" applyBorder="1" applyAlignment="1">
      <alignment horizontal="left" vertical="center" indent="80"/>
    </xf>
    <xf numFmtId="0" fontId="1" fillId="0" borderId="52" xfId="1" applyBorder="1" applyAlignment="1">
      <alignment horizontal="left" vertical="center" indent="80"/>
    </xf>
    <xf numFmtId="0" fontId="1" fillId="0" borderId="5" xfId="1" applyBorder="1" applyAlignment="1">
      <alignment horizontal="left" vertical="center" indent="80"/>
    </xf>
    <xf numFmtId="0" fontId="2" fillId="0" borderId="1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17" fillId="0" borderId="0" xfId="1" applyFont="1" applyFill="1" applyBorder="1" applyAlignment="1" applyProtection="1">
      <alignment horizontal="left" vertical="center"/>
      <protection locked="0"/>
    </xf>
    <xf numFmtId="0" fontId="1" fillId="0" borderId="0" xfId="1" applyAlignment="1">
      <alignment horizontal="left"/>
    </xf>
    <xf numFmtId="0" fontId="2" fillId="0" borderId="4" xfId="1" applyFont="1" applyBorder="1" applyAlignment="1">
      <alignment horizontal="center" vertical="center"/>
    </xf>
    <xf numFmtId="0" fontId="2" fillId="6" borderId="73" xfId="1" applyFont="1" applyFill="1" applyBorder="1" applyAlignment="1">
      <alignment horizontal="center" vertical="center" wrapText="1"/>
    </xf>
    <xf numFmtId="0" fontId="1" fillId="6" borderId="6" xfId="1" applyFill="1" applyBorder="1" applyAlignment="1">
      <alignment horizontal="center" vertical="center"/>
    </xf>
    <xf numFmtId="0" fontId="2" fillId="6" borderId="74" xfId="1" applyFont="1" applyFill="1" applyBorder="1" applyAlignment="1">
      <alignment horizontal="center" vertical="center" wrapText="1"/>
    </xf>
    <xf numFmtId="0" fontId="1" fillId="6" borderId="7" xfId="1" applyFill="1" applyBorder="1" applyAlignment="1">
      <alignment horizontal="center" vertical="center"/>
    </xf>
    <xf numFmtId="0" fontId="2" fillId="6" borderId="66" xfId="1" applyFont="1" applyFill="1" applyBorder="1" applyAlignment="1">
      <alignment horizontal="center" vertical="center" wrapText="1"/>
    </xf>
    <xf numFmtId="0" fontId="1" fillId="6" borderId="8" xfId="1" applyFill="1" applyBorder="1" applyAlignment="1">
      <alignment horizontal="center" vertical="center"/>
    </xf>
    <xf numFmtId="0" fontId="11" fillId="7" borderId="1" xfId="1" applyFont="1" applyFill="1" applyBorder="1" applyAlignment="1">
      <alignment horizontal="center" vertical="center" wrapText="1"/>
    </xf>
    <xf numFmtId="0" fontId="2" fillId="7" borderId="52" xfId="1" applyFont="1" applyFill="1" applyBorder="1" applyAlignment="1">
      <alignment horizontal="center" vertical="center"/>
    </xf>
    <xf numFmtId="0" fontId="1" fillId="7" borderId="52" xfId="1" applyFill="1" applyBorder="1" applyAlignment="1">
      <alignment horizontal="center" vertical="center"/>
    </xf>
    <xf numFmtId="0" fontId="1" fillId="7" borderId="5" xfId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CC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304800</xdr:colOff>
      <xdr:row>18</xdr:row>
      <xdr:rowOff>38100</xdr:rowOff>
    </xdr:from>
    <xdr:to>
      <xdr:col>12</xdr:col>
      <xdr:colOff>244929</xdr:colOff>
      <xdr:row>20</xdr:row>
      <xdr:rowOff>190500</xdr:rowOff>
    </xdr:to>
    <xdr:sp macro="" textlink="">
      <xdr:nvSpPr>
        <xdr:cNvPr id="130609" name="Oval 47">
          <a:extLst>
            <a:ext uri="{FF2B5EF4-FFF2-40B4-BE49-F238E27FC236}">
              <a16:creationId xmlns:a16="http://schemas.microsoft.com/office/drawing/2014/main" id="{DC13BDD1-5746-4E8D-A0BE-5A4FC026752B}"/>
            </a:ext>
          </a:extLst>
        </xdr:cNvPr>
        <xdr:cNvSpPr>
          <a:spLocks noChangeArrowheads="1"/>
        </xdr:cNvSpPr>
      </xdr:nvSpPr>
      <xdr:spPr bwMode="auto">
        <a:xfrm>
          <a:off x="6362700" y="3771900"/>
          <a:ext cx="587829" cy="555171"/>
        </a:xfrm>
        <a:prstGeom prst="ellipse">
          <a:avLst/>
        </a:prstGeom>
        <a:gradFill rotWithShape="1">
          <a:gsLst>
            <a:gs pos="0">
              <a:srgbClr val="FFFFFF"/>
            </a:gs>
            <a:gs pos="100000">
              <a:srgbClr val="767676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108857</xdr:colOff>
      <xdr:row>17</xdr:row>
      <xdr:rowOff>190500</xdr:rowOff>
    </xdr:from>
    <xdr:to>
      <xdr:col>15</xdr:col>
      <xdr:colOff>48986</xdr:colOff>
      <xdr:row>20</xdr:row>
      <xdr:rowOff>141514</xdr:rowOff>
    </xdr:to>
    <xdr:sp macro="" textlink="">
      <xdr:nvSpPr>
        <xdr:cNvPr id="130610" name="AutoShape 44">
          <a:extLst>
            <a:ext uri="{FF2B5EF4-FFF2-40B4-BE49-F238E27FC236}">
              <a16:creationId xmlns:a16="http://schemas.microsoft.com/office/drawing/2014/main" id="{68625B85-CF0C-4C9B-B66D-946D81970382}"/>
            </a:ext>
          </a:extLst>
        </xdr:cNvPr>
        <xdr:cNvSpPr>
          <a:spLocks noChangeArrowheads="1"/>
        </xdr:cNvSpPr>
      </xdr:nvSpPr>
      <xdr:spPr bwMode="auto">
        <a:xfrm>
          <a:off x="8109857" y="3722914"/>
          <a:ext cx="587829" cy="555172"/>
        </a:xfrm>
        <a:custGeom>
          <a:avLst/>
          <a:gdLst>
            <a:gd name="T0" fmla="*/ 2147483647 w 21600"/>
            <a:gd name="T1" fmla="*/ 0 h 21600"/>
            <a:gd name="T2" fmla="*/ 1343017332 w 21600"/>
            <a:gd name="T3" fmla="*/ 1349291525 h 21600"/>
            <a:gd name="T4" fmla="*/ 0 w 21600"/>
            <a:gd name="T5" fmla="*/ 2147483647 h 21600"/>
            <a:gd name="T6" fmla="*/ 1343017332 w 21600"/>
            <a:gd name="T7" fmla="*/ 2147483647 h 21600"/>
            <a:gd name="T8" fmla="*/ 2147483647 w 21600"/>
            <a:gd name="T9" fmla="*/ 2147483647 h 21600"/>
            <a:gd name="T10" fmla="*/ 2147483647 w 21600"/>
            <a:gd name="T11" fmla="*/ 2147483647 h 21600"/>
            <a:gd name="T12" fmla="*/ 2147483647 w 21600"/>
            <a:gd name="T13" fmla="*/ 2147483647 h 21600"/>
            <a:gd name="T14" fmla="*/ 2147483647 w 21600"/>
            <a:gd name="T15" fmla="*/ 1349291525 h 2160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3163 w 21600"/>
            <a:gd name="T25" fmla="*/ 3163 h 21600"/>
            <a:gd name="T26" fmla="*/ 18437 w 21600"/>
            <a:gd name="T27" fmla="*/ 18437 h 2160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2400" y="10800"/>
              </a:moveTo>
              <a:cubicBezTo>
                <a:pt x="2400" y="15439"/>
                <a:pt x="6161" y="19200"/>
                <a:pt x="10800" y="19200"/>
              </a:cubicBezTo>
              <a:cubicBezTo>
                <a:pt x="15439" y="19200"/>
                <a:pt x="19200" y="15439"/>
                <a:pt x="19200" y="10800"/>
              </a:cubicBezTo>
              <a:cubicBezTo>
                <a:pt x="19200" y="6161"/>
                <a:pt x="15439" y="2400"/>
                <a:pt x="10800" y="2400"/>
              </a:cubicBezTo>
              <a:cubicBezTo>
                <a:pt x="6161" y="2400"/>
                <a:pt x="2400" y="6161"/>
                <a:pt x="2400" y="10800"/>
              </a:cubicBezTo>
              <a:close/>
            </a:path>
          </a:pathLst>
        </a:custGeom>
        <a:gradFill rotWithShape="1">
          <a:gsLst>
            <a:gs pos="0">
              <a:srgbClr val="FFFFFF"/>
            </a:gs>
            <a:gs pos="100000">
              <a:srgbClr val="909090"/>
            </a:gs>
          </a:gsLst>
          <a:path path="rect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108857</xdr:colOff>
      <xdr:row>18</xdr:row>
      <xdr:rowOff>87086</xdr:rowOff>
    </xdr:from>
    <xdr:to>
      <xdr:col>17</xdr:col>
      <xdr:colOff>576943</xdr:colOff>
      <xdr:row>20</xdr:row>
      <xdr:rowOff>125186</xdr:rowOff>
    </xdr:to>
    <xdr:sp macro="" textlink="">
      <xdr:nvSpPr>
        <xdr:cNvPr id="130611" name="Oval 40">
          <a:extLst>
            <a:ext uri="{FF2B5EF4-FFF2-40B4-BE49-F238E27FC236}">
              <a16:creationId xmlns:a16="http://schemas.microsoft.com/office/drawing/2014/main" id="{A5C6D1F9-EBDC-45EC-AFCF-A31EB8949558}"/>
            </a:ext>
          </a:extLst>
        </xdr:cNvPr>
        <xdr:cNvSpPr>
          <a:spLocks noChangeArrowheads="1"/>
        </xdr:cNvSpPr>
      </xdr:nvSpPr>
      <xdr:spPr bwMode="auto">
        <a:xfrm>
          <a:off x="10052957" y="3820886"/>
          <a:ext cx="468086" cy="440871"/>
        </a:xfrm>
        <a:prstGeom prst="ellipse">
          <a:avLst/>
        </a:prstGeom>
        <a:gradFill rotWithShape="1">
          <a:gsLst>
            <a:gs pos="0">
              <a:srgbClr val="C0C0C0"/>
            </a:gs>
            <a:gs pos="100000">
              <a:srgbClr val="626262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435429</xdr:colOff>
      <xdr:row>22</xdr:row>
      <xdr:rowOff>179614</xdr:rowOff>
    </xdr:from>
    <xdr:to>
      <xdr:col>12</xdr:col>
      <xdr:colOff>179614</xdr:colOff>
      <xdr:row>26</xdr:row>
      <xdr:rowOff>16329</xdr:rowOff>
    </xdr:to>
    <xdr:grpSp>
      <xdr:nvGrpSpPr>
        <xdr:cNvPr id="130612" name="Group 34">
          <a:extLst>
            <a:ext uri="{FF2B5EF4-FFF2-40B4-BE49-F238E27FC236}">
              <a16:creationId xmlns:a16="http://schemas.microsoft.com/office/drawing/2014/main" id="{FE9AC8D5-F30B-46E3-9165-7887A82879DA}"/>
            </a:ext>
          </a:extLst>
        </xdr:cNvPr>
        <xdr:cNvGrpSpPr>
          <a:grpSpLocks/>
        </xdr:cNvGrpSpPr>
      </xdr:nvGrpSpPr>
      <xdr:grpSpPr bwMode="auto">
        <a:xfrm>
          <a:off x="6493329" y="4718957"/>
          <a:ext cx="391885" cy="642258"/>
          <a:chOff x="1303" y="5292"/>
          <a:chExt cx="591" cy="1008"/>
        </a:xfrm>
      </xdr:grpSpPr>
      <xdr:sp macro="" textlink="">
        <xdr:nvSpPr>
          <xdr:cNvPr id="130630" name="AutoShape 36">
            <a:extLst>
              <a:ext uri="{FF2B5EF4-FFF2-40B4-BE49-F238E27FC236}">
                <a16:creationId xmlns:a16="http://schemas.microsoft.com/office/drawing/2014/main" id="{D7D80F20-B804-4FA8-B6C8-99D2166B5789}"/>
              </a:ext>
            </a:extLst>
          </xdr:cNvPr>
          <xdr:cNvSpPr>
            <a:spLocks noChangeArrowheads="1"/>
          </xdr:cNvSpPr>
        </xdr:nvSpPr>
        <xdr:spPr bwMode="auto">
          <a:xfrm>
            <a:off x="1310" y="5305"/>
            <a:ext cx="584" cy="995"/>
          </a:xfrm>
          <a:prstGeom prst="can">
            <a:avLst>
              <a:gd name="adj" fmla="val 42594"/>
            </a:avLst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0631" name="Oval 35">
            <a:extLst>
              <a:ext uri="{FF2B5EF4-FFF2-40B4-BE49-F238E27FC236}">
                <a16:creationId xmlns:a16="http://schemas.microsoft.com/office/drawing/2014/main" id="{FAF64F0D-EC33-40A0-BFB0-5273B503B572}"/>
              </a:ext>
            </a:extLst>
          </xdr:cNvPr>
          <xdr:cNvSpPr>
            <a:spLocks noChangeArrowheads="1"/>
          </xdr:cNvSpPr>
        </xdr:nvSpPr>
        <xdr:spPr bwMode="auto">
          <a:xfrm>
            <a:off x="1303" y="5292"/>
            <a:ext cx="569" cy="256"/>
          </a:xfrm>
          <a:prstGeom prst="ellipse">
            <a:avLst/>
          </a:prstGeom>
          <a:solidFill>
            <a:srgbClr val="969696"/>
          </a:solidFill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14</xdr:col>
      <xdr:colOff>190500</xdr:colOff>
      <xdr:row>22</xdr:row>
      <xdr:rowOff>38100</xdr:rowOff>
    </xdr:from>
    <xdr:to>
      <xdr:col>14</xdr:col>
      <xdr:colOff>587829</xdr:colOff>
      <xdr:row>26</xdr:row>
      <xdr:rowOff>179614</xdr:rowOff>
    </xdr:to>
    <xdr:grpSp>
      <xdr:nvGrpSpPr>
        <xdr:cNvPr id="130613" name="Group 23">
          <a:extLst>
            <a:ext uri="{FF2B5EF4-FFF2-40B4-BE49-F238E27FC236}">
              <a16:creationId xmlns:a16="http://schemas.microsoft.com/office/drawing/2014/main" id="{94CB57F4-3068-4B4A-9830-DC25276A9254}"/>
            </a:ext>
          </a:extLst>
        </xdr:cNvPr>
        <xdr:cNvGrpSpPr>
          <a:grpSpLocks/>
        </xdr:cNvGrpSpPr>
      </xdr:nvGrpSpPr>
      <xdr:grpSpPr bwMode="auto">
        <a:xfrm>
          <a:off x="8191500" y="4577443"/>
          <a:ext cx="397329" cy="947057"/>
          <a:chOff x="7724775" y="4524375"/>
          <a:chExt cx="371475" cy="942975"/>
        </a:xfrm>
      </xdr:grpSpPr>
      <xdr:sp macro="" textlink="">
        <xdr:nvSpPr>
          <xdr:cNvPr id="130627" name="AutoShape 30">
            <a:extLst>
              <a:ext uri="{FF2B5EF4-FFF2-40B4-BE49-F238E27FC236}">
                <a16:creationId xmlns:a16="http://schemas.microsoft.com/office/drawing/2014/main" id="{9F6F0ECE-1145-4AE9-A582-42E06B9C4397}"/>
              </a:ext>
            </a:extLst>
          </xdr:cNvPr>
          <xdr:cNvSpPr>
            <a:spLocks noChangeArrowheads="1"/>
          </xdr:cNvSpPr>
        </xdr:nvSpPr>
        <xdr:spPr bwMode="auto">
          <a:xfrm>
            <a:off x="7724775" y="4686300"/>
            <a:ext cx="371475" cy="628650"/>
          </a:xfrm>
          <a:prstGeom prst="can">
            <a:avLst>
              <a:gd name="adj" fmla="val 42566"/>
            </a:avLst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0628" name="Oval 29">
            <a:extLst>
              <a:ext uri="{FF2B5EF4-FFF2-40B4-BE49-F238E27FC236}">
                <a16:creationId xmlns:a16="http://schemas.microsoft.com/office/drawing/2014/main" id="{6BFCD259-59DC-4EA0-A6E5-A1BA5ACC7C63}"/>
              </a:ext>
            </a:extLst>
          </xdr:cNvPr>
          <xdr:cNvSpPr>
            <a:spLocks noChangeArrowheads="1"/>
          </xdr:cNvSpPr>
        </xdr:nvSpPr>
        <xdr:spPr bwMode="auto">
          <a:xfrm>
            <a:off x="7724775" y="5305425"/>
            <a:ext cx="361950" cy="161925"/>
          </a:xfrm>
          <a:prstGeom prst="ellipse">
            <a:avLst/>
          </a:prstGeom>
          <a:solidFill>
            <a:srgbClr val="969696"/>
          </a:solidFill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130629" name="Oval 28">
            <a:extLst>
              <a:ext uri="{FF2B5EF4-FFF2-40B4-BE49-F238E27FC236}">
                <a16:creationId xmlns:a16="http://schemas.microsoft.com/office/drawing/2014/main" id="{8FCB7F60-6886-402A-9F06-9EAD4D3EC1F2}"/>
              </a:ext>
            </a:extLst>
          </xdr:cNvPr>
          <xdr:cNvSpPr>
            <a:spLocks noChangeArrowheads="1"/>
          </xdr:cNvSpPr>
        </xdr:nvSpPr>
        <xdr:spPr bwMode="auto">
          <a:xfrm>
            <a:off x="7724775" y="4524375"/>
            <a:ext cx="361950" cy="161925"/>
          </a:xfrm>
          <a:prstGeom prst="ellipse">
            <a:avLst/>
          </a:prstGeom>
          <a:solidFill>
            <a:srgbClr val="969696"/>
          </a:solidFill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17</xdr:col>
      <xdr:colOff>152400</xdr:colOff>
      <xdr:row>23</xdr:row>
      <xdr:rowOff>27214</xdr:rowOff>
    </xdr:from>
    <xdr:to>
      <xdr:col>17</xdr:col>
      <xdr:colOff>506186</xdr:colOff>
      <xdr:row>26</xdr:row>
      <xdr:rowOff>10886</xdr:rowOff>
    </xdr:to>
    <xdr:grpSp>
      <xdr:nvGrpSpPr>
        <xdr:cNvPr id="130614" name="Group 50">
          <a:extLst>
            <a:ext uri="{FF2B5EF4-FFF2-40B4-BE49-F238E27FC236}">
              <a16:creationId xmlns:a16="http://schemas.microsoft.com/office/drawing/2014/main" id="{80614F85-1CAC-4E23-8476-604B968FD37D}"/>
            </a:ext>
          </a:extLst>
        </xdr:cNvPr>
        <xdr:cNvGrpSpPr>
          <a:grpSpLocks/>
        </xdr:cNvGrpSpPr>
      </xdr:nvGrpSpPr>
      <xdr:grpSpPr bwMode="auto">
        <a:xfrm>
          <a:off x="10096500" y="4767943"/>
          <a:ext cx="353786" cy="587829"/>
          <a:chOff x="9517297" y="4667250"/>
          <a:chExt cx="328249" cy="577850"/>
        </a:xfrm>
      </xdr:grpSpPr>
      <xdr:sp macro="" textlink="">
        <xdr:nvSpPr>
          <xdr:cNvPr id="130625" name="AutoShape 23">
            <a:extLst>
              <a:ext uri="{FF2B5EF4-FFF2-40B4-BE49-F238E27FC236}">
                <a16:creationId xmlns:a16="http://schemas.microsoft.com/office/drawing/2014/main" id="{8BD696EC-38A6-47EC-973A-E98A3B75FF3C}"/>
              </a:ext>
            </a:extLst>
          </xdr:cNvPr>
          <xdr:cNvSpPr>
            <a:spLocks noChangeArrowheads="1"/>
          </xdr:cNvSpPr>
        </xdr:nvSpPr>
        <xdr:spPr bwMode="auto">
          <a:xfrm>
            <a:off x="9517297" y="4674235"/>
            <a:ext cx="328249" cy="570865"/>
          </a:xfrm>
          <a:prstGeom prst="can">
            <a:avLst>
              <a:gd name="adj" fmla="val 43389"/>
            </a:avLst>
          </a:prstGeom>
          <a:gradFill rotWithShape="1">
            <a:gsLst>
              <a:gs pos="0">
                <a:srgbClr val="404040"/>
              </a:gs>
              <a:gs pos="50000">
                <a:srgbClr val="C0C0C0"/>
              </a:gs>
              <a:gs pos="100000">
                <a:srgbClr val="40404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0626" name="Oval 21">
            <a:extLst>
              <a:ext uri="{FF2B5EF4-FFF2-40B4-BE49-F238E27FC236}">
                <a16:creationId xmlns:a16="http://schemas.microsoft.com/office/drawing/2014/main" id="{6A12667B-12F0-433C-9ADE-927419B46B09}"/>
              </a:ext>
            </a:extLst>
          </xdr:cNvPr>
          <xdr:cNvSpPr>
            <a:spLocks noChangeArrowheads="1"/>
          </xdr:cNvSpPr>
        </xdr:nvSpPr>
        <xdr:spPr bwMode="auto">
          <a:xfrm>
            <a:off x="9524921" y="4667250"/>
            <a:ext cx="310506" cy="153035"/>
          </a:xfrm>
          <a:prstGeom prst="ellipse">
            <a:avLst/>
          </a:prstGeom>
          <a:solidFill>
            <a:srgbClr val="80808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11</xdr:col>
      <xdr:colOff>342900</xdr:colOff>
      <xdr:row>28</xdr:row>
      <xdr:rowOff>136071</xdr:rowOff>
    </xdr:from>
    <xdr:to>
      <xdr:col>12</xdr:col>
      <xdr:colOff>130629</xdr:colOff>
      <xdr:row>30</xdr:row>
      <xdr:rowOff>152400</xdr:rowOff>
    </xdr:to>
    <xdr:sp macro="" textlink="">
      <xdr:nvSpPr>
        <xdr:cNvPr id="130615" name="Rectangle 18">
          <a:extLst>
            <a:ext uri="{FF2B5EF4-FFF2-40B4-BE49-F238E27FC236}">
              <a16:creationId xmlns:a16="http://schemas.microsoft.com/office/drawing/2014/main" id="{8B029F86-9011-4C96-ADB7-708FF19A0BD4}"/>
            </a:ext>
          </a:extLst>
        </xdr:cNvPr>
        <xdr:cNvSpPr>
          <a:spLocks noChangeArrowheads="1"/>
        </xdr:cNvSpPr>
      </xdr:nvSpPr>
      <xdr:spPr bwMode="auto">
        <a:xfrm>
          <a:off x="6400800" y="5883729"/>
          <a:ext cx="435429" cy="419100"/>
        </a:xfrm>
        <a:prstGeom prst="rect">
          <a:avLst/>
        </a:prstGeom>
        <a:solidFill>
          <a:srgbClr val="FFFFFF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Matte">
          <a:bevelT w="13500" h="13500" prst="angle"/>
          <a:bevelB w="13500" h="13500" prst="angle"/>
          <a:extrusionClr>
            <a:srgbClr val="FFFFFF"/>
          </a:extrusionClr>
          <a:contourClr>
            <a:srgbClr val="FFFFFF"/>
          </a:contourClr>
        </a:sp3d>
      </xdr:spPr>
    </xdr:sp>
    <xdr:clientData/>
  </xdr:twoCellAnchor>
  <xdr:twoCellAnchor>
    <xdr:from>
      <xdr:col>17</xdr:col>
      <xdr:colOff>152400</xdr:colOff>
      <xdr:row>28</xdr:row>
      <xdr:rowOff>190500</xdr:rowOff>
    </xdr:from>
    <xdr:to>
      <xdr:col>17</xdr:col>
      <xdr:colOff>555171</xdr:colOff>
      <xdr:row>30</xdr:row>
      <xdr:rowOff>179614</xdr:rowOff>
    </xdr:to>
    <xdr:sp macro="" textlink="">
      <xdr:nvSpPr>
        <xdr:cNvPr id="130616" name="Rectangle 3">
          <a:extLst>
            <a:ext uri="{FF2B5EF4-FFF2-40B4-BE49-F238E27FC236}">
              <a16:creationId xmlns:a16="http://schemas.microsoft.com/office/drawing/2014/main" id="{65E853DA-6670-46F1-8E55-77E694F15E52}"/>
            </a:ext>
          </a:extLst>
        </xdr:cNvPr>
        <xdr:cNvSpPr>
          <a:spLocks noChangeAspect="1" noChangeArrowheads="1"/>
        </xdr:cNvSpPr>
      </xdr:nvSpPr>
      <xdr:spPr bwMode="auto">
        <a:xfrm>
          <a:off x="10096500" y="5938157"/>
          <a:ext cx="402771" cy="391886"/>
        </a:xfrm>
        <a:prstGeom prst="rect">
          <a:avLst/>
        </a:prstGeom>
        <a:solidFill>
          <a:srgbClr val="C0C0C0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Matte">
          <a:bevelT w="13500" h="13500" prst="angle"/>
          <a:bevelB w="13500" h="13500" prst="angle"/>
          <a:extrusionClr>
            <a:srgbClr val="C0C0C0"/>
          </a:extrusionClr>
          <a:contourClr>
            <a:srgbClr val="C0C0C0"/>
          </a:contourClr>
        </a:sp3d>
      </xdr:spPr>
    </xdr:sp>
    <xdr:clientData/>
  </xdr:twoCellAnchor>
  <xdr:twoCellAnchor editAs="absolute">
    <xdr:from>
      <xdr:col>14</xdr:col>
      <xdr:colOff>70757</xdr:colOff>
      <xdr:row>27</xdr:row>
      <xdr:rowOff>48986</xdr:rowOff>
    </xdr:from>
    <xdr:to>
      <xdr:col>15</xdr:col>
      <xdr:colOff>223157</xdr:colOff>
      <xdr:row>31</xdr:row>
      <xdr:rowOff>152400</xdr:rowOff>
    </xdr:to>
    <xdr:grpSp>
      <xdr:nvGrpSpPr>
        <xdr:cNvPr id="130617" name="Group 49">
          <a:extLst>
            <a:ext uri="{FF2B5EF4-FFF2-40B4-BE49-F238E27FC236}">
              <a16:creationId xmlns:a16="http://schemas.microsoft.com/office/drawing/2014/main" id="{CF791258-F605-43DB-9E44-D268DB53B514}"/>
            </a:ext>
          </a:extLst>
        </xdr:cNvPr>
        <xdr:cNvGrpSpPr>
          <a:grpSpLocks/>
        </xdr:cNvGrpSpPr>
      </xdr:nvGrpSpPr>
      <xdr:grpSpPr bwMode="auto">
        <a:xfrm>
          <a:off x="8071757" y="5595257"/>
          <a:ext cx="800100" cy="908957"/>
          <a:chOff x="7196460" y="5536549"/>
          <a:chExt cx="753260" cy="905559"/>
        </a:xfrm>
      </xdr:grpSpPr>
      <xdr:sp macro="" textlink="">
        <xdr:nvSpPr>
          <xdr:cNvPr id="130618" name="Freeform 9">
            <a:extLst>
              <a:ext uri="{FF2B5EF4-FFF2-40B4-BE49-F238E27FC236}">
                <a16:creationId xmlns:a16="http://schemas.microsoft.com/office/drawing/2014/main" id="{E83B2637-19D7-405D-8BD6-A157F3868F31}"/>
              </a:ext>
            </a:extLst>
          </xdr:cNvPr>
          <xdr:cNvSpPr>
            <a:spLocks/>
          </xdr:cNvSpPr>
        </xdr:nvSpPr>
        <xdr:spPr bwMode="auto">
          <a:xfrm>
            <a:off x="7287996" y="6282173"/>
            <a:ext cx="570189" cy="159935"/>
          </a:xfrm>
          <a:custGeom>
            <a:avLst/>
            <a:gdLst>
              <a:gd name="T0" fmla="*/ 2147483647 w 897"/>
              <a:gd name="T1" fmla="*/ 0 h 252"/>
              <a:gd name="T2" fmla="*/ 0 w 897"/>
              <a:gd name="T3" fmla="*/ 2147483647 h 252"/>
              <a:gd name="T4" fmla="*/ 2147483647 w 897"/>
              <a:gd name="T5" fmla="*/ 2147483647 h 252"/>
              <a:gd name="T6" fmla="*/ 2147483647 w 897"/>
              <a:gd name="T7" fmla="*/ 0 h 252"/>
              <a:gd name="T8" fmla="*/ 2147483647 w 897"/>
              <a:gd name="T9" fmla="*/ 0 h 25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97"/>
              <a:gd name="T16" fmla="*/ 0 h 252"/>
              <a:gd name="T17" fmla="*/ 897 w 897"/>
              <a:gd name="T18" fmla="*/ 252 h 25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97" h="252">
                <a:moveTo>
                  <a:pt x="264" y="0"/>
                </a:moveTo>
                <a:lnTo>
                  <a:pt x="0" y="252"/>
                </a:lnTo>
                <a:lnTo>
                  <a:pt x="645" y="249"/>
                </a:lnTo>
                <a:lnTo>
                  <a:pt x="897" y="0"/>
                </a:lnTo>
                <a:lnTo>
                  <a:pt x="264" y="0"/>
                </a:lnTo>
                <a:close/>
              </a:path>
            </a:pathLst>
          </a:custGeom>
          <a:solidFill>
            <a:srgbClr val="80808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grpSp>
        <xdr:nvGrpSpPr>
          <xdr:cNvPr id="130619" name="Group 11">
            <a:extLst>
              <a:ext uri="{FF2B5EF4-FFF2-40B4-BE49-F238E27FC236}">
                <a16:creationId xmlns:a16="http://schemas.microsoft.com/office/drawing/2014/main" id="{CB81370A-F789-4A4F-A55A-2F07AB9B5C62}"/>
              </a:ext>
            </a:extLst>
          </xdr:cNvPr>
          <xdr:cNvGrpSpPr>
            <a:grpSpLocks/>
          </xdr:cNvGrpSpPr>
        </xdr:nvGrpSpPr>
        <xdr:grpSpPr bwMode="auto">
          <a:xfrm>
            <a:off x="7196460" y="5664061"/>
            <a:ext cx="753260" cy="645453"/>
            <a:chOff x="3009" y="2546"/>
            <a:chExt cx="2175" cy="1866"/>
          </a:xfrm>
        </xdr:grpSpPr>
        <xdr:sp macro="" textlink="">
          <xdr:nvSpPr>
            <xdr:cNvPr id="130621" name="Rectangle 15">
              <a:extLst>
                <a:ext uri="{FF2B5EF4-FFF2-40B4-BE49-F238E27FC236}">
                  <a16:creationId xmlns:a16="http://schemas.microsoft.com/office/drawing/2014/main" id="{9D14EBA9-2353-4745-B8AE-1A59DA5401A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24" y="2546"/>
              <a:ext cx="1190" cy="1215"/>
            </a:xfrm>
            <a:prstGeom prst="rect">
              <a:avLst/>
            </a:prstGeom>
            <a:solidFill>
              <a:srgbClr val="B2B2B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0622" name="Freeform 14">
              <a:extLst>
                <a:ext uri="{FF2B5EF4-FFF2-40B4-BE49-F238E27FC236}">
                  <a16:creationId xmlns:a16="http://schemas.microsoft.com/office/drawing/2014/main" id="{4710D5D0-2FC6-4F9E-84F4-34D02905E339}"/>
                </a:ext>
              </a:extLst>
            </xdr:cNvPr>
            <xdr:cNvSpPr>
              <a:spLocks/>
            </xdr:cNvSpPr>
          </xdr:nvSpPr>
          <xdr:spPr bwMode="auto">
            <a:xfrm>
              <a:off x="3009" y="2750"/>
              <a:ext cx="475" cy="1662"/>
            </a:xfrm>
            <a:custGeom>
              <a:avLst/>
              <a:gdLst>
                <a:gd name="T0" fmla="*/ 1568 w 259"/>
                <a:gd name="T1" fmla="*/ 0 h 906"/>
                <a:gd name="T2" fmla="*/ 0 w 259"/>
                <a:gd name="T3" fmla="*/ 1585 h 906"/>
                <a:gd name="T4" fmla="*/ 0 w 259"/>
                <a:gd name="T5" fmla="*/ 5593 h 906"/>
                <a:gd name="T6" fmla="*/ 1597 w 259"/>
                <a:gd name="T7" fmla="*/ 4045 h 906"/>
                <a:gd name="T8" fmla="*/ 1568 w 259"/>
                <a:gd name="T9" fmla="*/ 0 h 906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259"/>
                <a:gd name="T16" fmla="*/ 0 h 906"/>
                <a:gd name="T17" fmla="*/ 259 w 259"/>
                <a:gd name="T18" fmla="*/ 906 h 906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259" h="906">
                  <a:moveTo>
                    <a:pt x="254" y="0"/>
                  </a:moveTo>
                  <a:lnTo>
                    <a:pt x="0" y="257"/>
                  </a:lnTo>
                  <a:lnTo>
                    <a:pt x="0" y="906"/>
                  </a:lnTo>
                  <a:lnTo>
                    <a:pt x="259" y="655"/>
                  </a:lnTo>
                  <a:lnTo>
                    <a:pt x="254" y="0"/>
                  </a:lnTo>
                  <a:close/>
                </a:path>
              </a:pathLst>
            </a:custGeom>
            <a:solidFill>
              <a:srgbClr val="DDDDDD"/>
            </a:solidFill>
            <a:ln w="9525">
              <a:solidFill>
                <a:srgbClr val="DDDDDD"/>
              </a:solidFill>
              <a:round/>
              <a:headEnd/>
              <a:tailEnd/>
            </a:ln>
          </xdr:spPr>
        </xdr:sp>
        <xdr:sp macro="" textlink="">
          <xdr:nvSpPr>
            <xdr:cNvPr id="130623" name="Rectangle 13">
              <a:extLst>
                <a:ext uri="{FF2B5EF4-FFF2-40B4-BE49-F238E27FC236}">
                  <a16:creationId xmlns:a16="http://schemas.microsoft.com/office/drawing/2014/main" id="{74437671-04D6-4FDC-9C6B-D5EF8094623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08" y="3181"/>
              <a:ext cx="1189" cy="1215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0624" name="Freeform 12">
              <a:extLst>
                <a:ext uri="{FF2B5EF4-FFF2-40B4-BE49-F238E27FC236}">
                  <a16:creationId xmlns:a16="http://schemas.microsoft.com/office/drawing/2014/main" id="{288D23B0-9604-4586-8915-1EEAAED61C52}"/>
                </a:ext>
              </a:extLst>
            </xdr:cNvPr>
            <xdr:cNvSpPr>
              <a:spLocks/>
            </xdr:cNvSpPr>
          </xdr:nvSpPr>
          <xdr:spPr bwMode="auto">
            <a:xfrm>
              <a:off x="4708" y="2742"/>
              <a:ext cx="476" cy="1663"/>
            </a:xfrm>
            <a:custGeom>
              <a:avLst/>
              <a:gdLst>
                <a:gd name="T0" fmla="*/ 1577 w 259"/>
                <a:gd name="T1" fmla="*/ 0 h 906"/>
                <a:gd name="T2" fmla="*/ 0 w 259"/>
                <a:gd name="T3" fmla="*/ 1590 h 906"/>
                <a:gd name="T4" fmla="*/ 0 w 259"/>
                <a:gd name="T5" fmla="*/ 5604 h 906"/>
                <a:gd name="T6" fmla="*/ 1608 w 259"/>
                <a:gd name="T7" fmla="*/ 4049 h 906"/>
                <a:gd name="T8" fmla="*/ 1577 w 259"/>
                <a:gd name="T9" fmla="*/ 0 h 906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259"/>
                <a:gd name="T16" fmla="*/ 0 h 906"/>
                <a:gd name="T17" fmla="*/ 259 w 259"/>
                <a:gd name="T18" fmla="*/ 906 h 906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259" h="906">
                  <a:moveTo>
                    <a:pt x="254" y="0"/>
                  </a:moveTo>
                  <a:lnTo>
                    <a:pt x="0" y="257"/>
                  </a:lnTo>
                  <a:lnTo>
                    <a:pt x="0" y="906"/>
                  </a:lnTo>
                  <a:lnTo>
                    <a:pt x="259" y="655"/>
                  </a:lnTo>
                  <a:lnTo>
                    <a:pt x="254" y="0"/>
                  </a:lnTo>
                  <a:close/>
                </a:path>
              </a:pathLst>
            </a:custGeom>
            <a:solidFill>
              <a:srgbClr val="DDDDDD"/>
            </a:solidFill>
            <a:ln w="9525">
              <a:solidFill>
                <a:srgbClr val="DDDDDD"/>
              </a:solidFill>
              <a:round/>
              <a:headEnd/>
              <a:tailEnd/>
            </a:ln>
          </xdr:spPr>
        </xdr:sp>
      </xdr:grpSp>
      <xdr:sp macro="" textlink="">
        <xdr:nvSpPr>
          <xdr:cNvPr id="130620" name="Freeform 10">
            <a:extLst>
              <a:ext uri="{FF2B5EF4-FFF2-40B4-BE49-F238E27FC236}">
                <a16:creationId xmlns:a16="http://schemas.microsoft.com/office/drawing/2014/main" id="{D098F94A-0BC1-49CE-B097-9C7A7763938B}"/>
              </a:ext>
            </a:extLst>
          </xdr:cNvPr>
          <xdr:cNvSpPr>
            <a:spLocks/>
          </xdr:cNvSpPr>
        </xdr:nvSpPr>
        <xdr:spPr bwMode="auto">
          <a:xfrm>
            <a:off x="7326135" y="5536549"/>
            <a:ext cx="570189" cy="159935"/>
          </a:xfrm>
          <a:custGeom>
            <a:avLst/>
            <a:gdLst>
              <a:gd name="T0" fmla="*/ 2147483647 w 897"/>
              <a:gd name="T1" fmla="*/ 0 h 252"/>
              <a:gd name="T2" fmla="*/ 0 w 897"/>
              <a:gd name="T3" fmla="*/ 2147483647 h 252"/>
              <a:gd name="T4" fmla="*/ 2147483647 w 897"/>
              <a:gd name="T5" fmla="*/ 2147483647 h 252"/>
              <a:gd name="T6" fmla="*/ 2147483647 w 897"/>
              <a:gd name="T7" fmla="*/ 0 h 252"/>
              <a:gd name="T8" fmla="*/ 2147483647 w 897"/>
              <a:gd name="T9" fmla="*/ 0 h 25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97"/>
              <a:gd name="T16" fmla="*/ 0 h 252"/>
              <a:gd name="T17" fmla="*/ 897 w 897"/>
              <a:gd name="T18" fmla="*/ 252 h 25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97" h="252">
                <a:moveTo>
                  <a:pt x="264" y="0"/>
                </a:moveTo>
                <a:lnTo>
                  <a:pt x="0" y="252"/>
                </a:lnTo>
                <a:lnTo>
                  <a:pt x="645" y="249"/>
                </a:lnTo>
                <a:lnTo>
                  <a:pt x="897" y="0"/>
                </a:lnTo>
                <a:lnTo>
                  <a:pt x="264" y="0"/>
                </a:lnTo>
                <a:close/>
              </a:path>
            </a:pathLst>
          </a:custGeom>
          <a:solidFill>
            <a:srgbClr val="80808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70"/>
  <sheetViews>
    <sheetView showGridLines="0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1" sqref="B1:W2"/>
    </sheetView>
  </sheetViews>
  <sheetFormatPr defaultColWidth="9.15234375" defaultRowHeight="12.45" x14ac:dyDescent="0.3"/>
  <cols>
    <col min="1" max="1" width="12.69140625" style="187" customWidth="1"/>
    <col min="2" max="3" width="9.15234375" style="187"/>
    <col min="4" max="5" width="9.15234375" style="187" customWidth="1"/>
    <col min="6" max="7" width="9.15234375" style="187"/>
    <col min="8" max="8" width="9.15234375" style="187" hidden="1" customWidth="1"/>
    <col min="9" max="9" width="12.69140625" style="187" hidden="1" customWidth="1"/>
    <col min="10" max="15" width="9.15234375" style="187"/>
    <col min="16" max="16" width="9.15234375" style="187" hidden="1" customWidth="1"/>
    <col min="17" max="17" width="12.69140625" style="187" hidden="1" customWidth="1"/>
    <col min="18" max="23" width="9.15234375" style="187"/>
    <col min="24" max="24" width="9.15234375" style="188" hidden="1" customWidth="1"/>
    <col min="25" max="25" width="4" style="187" customWidth="1"/>
    <col min="26" max="16384" width="9.15234375" style="187"/>
  </cols>
  <sheetData>
    <row r="1" spans="1:35" ht="16" customHeight="1" x14ac:dyDescent="0.3">
      <c r="B1" s="372" t="s">
        <v>148</v>
      </c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  <c r="U1" s="373"/>
      <c r="V1" s="373"/>
      <c r="W1" s="373"/>
      <c r="X1" s="191"/>
    </row>
    <row r="2" spans="1:35" ht="16" customHeight="1" x14ac:dyDescent="0.3">
      <c r="A2" s="141"/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191"/>
    </row>
    <row r="3" spans="1:35" ht="16" customHeight="1" thickBot="1" x14ac:dyDescent="0.35">
      <c r="H3" s="188"/>
      <c r="P3" s="188"/>
    </row>
    <row r="4" spans="1:35" ht="24" customHeight="1" thickBot="1" x14ac:dyDescent="0.35">
      <c r="B4" s="374" t="s">
        <v>134</v>
      </c>
      <c r="C4" s="375"/>
      <c r="D4" s="375"/>
      <c r="E4" s="353">
        <v>8.25</v>
      </c>
      <c r="F4" s="376" t="s">
        <v>133</v>
      </c>
      <c r="G4" s="377"/>
      <c r="H4" s="354"/>
      <c r="I4" s="355"/>
      <c r="J4" s="378" t="s">
        <v>140</v>
      </c>
      <c r="K4" s="379"/>
      <c r="L4" s="379"/>
      <c r="M4" s="363">
        <v>4.6900000000000004</v>
      </c>
      <c r="N4" s="380" t="s">
        <v>141</v>
      </c>
      <c r="O4" s="381"/>
      <c r="P4" s="356"/>
      <c r="Q4" s="355"/>
      <c r="R4" s="382" t="s">
        <v>142</v>
      </c>
      <c r="S4" s="383"/>
      <c r="T4" s="383"/>
      <c r="U4" s="364">
        <v>3.21</v>
      </c>
      <c r="V4" s="365" t="s">
        <v>143</v>
      </c>
      <c r="W4" s="366"/>
    </row>
    <row r="5" spans="1:35" ht="16" customHeight="1" x14ac:dyDescent="0.3">
      <c r="A5" s="393" t="s">
        <v>82</v>
      </c>
      <c r="B5" s="410" t="s">
        <v>129</v>
      </c>
      <c r="C5" s="411"/>
      <c r="D5" s="411"/>
      <c r="E5" s="411"/>
      <c r="F5" s="411"/>
      <c r="G5" s="412"/>
      <c r="H5" s="168"/>
      <c r="I5" s="393" t="s">
        <v>82</v>
      </c>
      <c r="J5" s="395" t="s">
        <v>129</v>
      </c>
      <c r="K5" s="396"/>
      <c r="L5" s="396"/>
      <c r="M5" s="396"/>
      <c r="N5" s="396"/>
      <c r="O5" s="397"/>
      <c r="P5" s="169"/>
      <c r="Q5" s="393" t="s">
        <v>82</v>
      </c>
      <c r="R5" s="398" t="s">
        <v>129</v>
      </c>
      <c r="S5" s="399"/>
      <c r="T5" s="399"/>
      <c r="U5" s="399"/>
      <c r="V5" s="399"/>
      <c r="W5" s="400"/>
    </row>
    <row r="6" spans="1:35" ht="16" customHeight="1" thickBot="1" x14ac:dyDescent="0.35">
      <c r="A6" s="394"/>
      <c r="B6" s="176">
        <v>0.5</v>
      </c>
      <c r="C6" s="177">
        <v>1</v>
      </c>
      <c r="D6" s="177">
        <v>1.5</v>
      </c>
      <c r="E6" s="177">
        <v>2</v>
      </c>
      <c r="F6" s="177">
        <v>2.5</v>
      </c>
      <c r="G6" s="178">
        <v>3</v>
      </c>
      <c r="H6" s="169"/>
      <c r="I6" s="394"/>
      <c r="J6" s="182">
        <v>0.5</v>
      </c>
      <c r="K6" s="183">
        <v>1</v>
      </c>
      <c r="L6" s="183">
        <v>1.5</v>
      </c>
      <c r="M6" s="183">
        <v>2</v>
      </c>
      <c r="N6" s="183">
        <v>2.5</v>
      </c>
      <c r="O6" s="184">
        <v>3</v>
      </c>
      <c r="P6" s="169"/>
      <c r="Q6" s="394"/>
      <c r="R6" s="179">
        <v>0.5</v>
      </c>
      <c r="S6" s="180">
        <v>1</v>
      </c>
      <c r="T6" s="180">
        <v>1.5</v>
      </c>
      <c r="U6" s="180">
        <v>2</v>
      </c>
      <c r="V6" s="180">
        <v>2.5</v>
      </c>
      <c r="W6" s="181">
        <v>3</v>
      </c>
      <c r="X6" s="192"/>
    </row>
    <row r="7" spans="1:35" ht="16" customHeight="1" x14ac:dyDescent="0.3">
      <c r="A7" s="262">
        <v>0</v>
      </c>
      <c r="B7" s="162">
        <v>32</v>
      </c>
      <c r="C7" s="144">
        <v>127</v>
      </c>
      <c r="D7" s="144">
        <v>285</v>
      </c>
      <c r="E7" s="144">
        <v>506</v>
      </c>
      <c r="F7" s="144">
        <v>792</v>
      </c>
      <c r="G7" s="171">
        <v>1139</v>
      </c>
      <c r="H7" s="170"/>
      <c r="I7" s="262">
        <v>0</v>
      </c>
      <c r="J7" s="147">
        <v>56</v>
      </c>
      <c r="K7" s="148">
        <v>223</v>
      </c>
      <c r="L7" s="148">
        <v>501</v>
      </c>
      <c r="M7" s="148">
        <v>890</v>
      </c>
      <c r="N7" s="148">
        <v>1393</v>
      </c>
      <c r="O7" s="149">
        <v>2004</v>
      </c>
      <c r="P7" s="170"/>
      <c r="Q7" s="262">
        <v>0</v>
      </c>
      <c r="R7" s="165">
        <v>127</v>
      </c>
      <c r="S7" s="156">
        <v>503</v>
      </c>
      <c r="T7" s="156">
        <v>1129</v>
      </c>
      <c r="U7" s="156">
        <v>2005</v>
      </c>
      <c r="V7" s="156">
        <v>3138</v>
      </c>
      <c r="W7" s="157">
        <v>4513</v>
      </c>
      <c r="X7" s="170"/>
      <c r="Z7" s="51"/>
      <c r="AA7" s="408" t="s">
        <v>0</v>
      </c>
      <c r="AB7" s="409"/>
      <c r="AC7" s="409"/>
      <c r="AD7" s="1"/>
    </row>
    <row r="8" spans="1:35" ht="16" customHeight="1" thickBot="1" x14ac:dyDescent="0.35">
      <c r="A8" s="263">
        <v>0.5</v>
      </c>
      <c r="B8" s="163">
        <v>35</v>
      </c>
      <c r="C8" s="145">
        <v>129</v>
      </c>
      <c r="D8" s="145">
        <v>289</v>
      </c>
      <c r="E8" s="145">
        <v>509</v>
      </c>
      <c r="F8" s="145">
        <v>795</v>
      </c>
      <c r="G8" s="172">
        <v>1142</v>
      </c>
      <c r="H8" s="170"/>
      <c r="I8" s="263">
        <v>0.5</v>
      </c>
      <c r="J8" s="150">
        <v>62</v>
      </c>
      <c r="K8" s="151">
        <v>227</v>
      </c>
      <c r="L8" s="151">
        <v>508</v>
      </c>
      <c r="M8" s="151">
        <v>895</v>
      </c>
      <c r="N8" s="151">
        <v>1398</v>
      </c>
      <c r="O8" s="152">
        <v>2009</v>
      </c>
      <c r="P8" s="170"/>
      <c r="Q8" s="263">
        <v>0.5</v>
      </c>
      <c r="R8" s="166">
        <v>139</v>
      </c>
      <c r="S8" s="158">
        <v>511</v>
      </c>
      <c r="T8" s="158">
        <v>1145</v>
      </c>
      <c r="U8" s="158">
        <v>2017</v>
      </c>
      <c r="V8" s="158">
        <v>3150</v>
      </c>
      <c r="W8" s="159">
        <v>4525</v>
      </c>
      <c r="X8" s="170"/>
      <c r="Z8" s="51"/>
      <c r="AA8" s="1"/>
      <c r="AB8" s="1"/>
      <c r="AC8" s="1"/>
      <c r="AD8" s="1"/>
    </row>
    <row r="9" spans="1:35" ht="16" customHeight="1" x14ac:dyDescent="0.3">
      <c r="A9" s="263">
        <v>1</v>
      </c>
      <c r="B9" s="163">
        <v>40</v>
      </c>
      <c r="C9" s="145">
        <v>135</v>
      </c>
      <c r="D9" s="145">
        <v>295</v>
      </c>
      <c r="E9" s="145">
        <v>515</v>
      </c>
      <c r="F9" s="145">
        <v>801</v>
      </c>
      <c r="G9" s="172">
        <v>1151</v>
      </c>
      <c r="H9" s="170"/>
      <c r="I9" s="263">
        <v>1</v>
      </c>
      <c r="J9" s="150">
        <v>70</v>
      </c>
      <c r="K9" s="151">
        <v>237</v>
      </c>
      <c r="L9" s="151">
        <v>519</v>
      </c>
      <c r="M9" s="151">
        <v>906</v>
      </c>
      <c r="N9" s="151">
        <v>1409</v>
      </c>
      <c r="O9" s="152">
        <v>2025</v>
      </c>
      <c r="P9" s="170"/>
      <c r="Q9" s="263">
        <v>1</v>
      </c>
      <c r="R9" s="166">
        <v>158</v>
      </c>
      <c r="S9" s="158">
        <v>535</v>
      </c>
      <c r="T9" s="158">
        <v>1169</v>
      </c>
      <c r="U9" s="158">
        <v>2041</v>
      </c>
      <c r="V9" s="158">
        <v>3174</v>
      </c>
      <c r="W9" s="159">
        <v>4561</v>
      </c>
      <c r="X9" s="170"/>
      <c r="Z9" s="404" t="s">
        <v>128</v>
      </c>
      <c r="AA9" s="406" t="s">
        <v>51</v>
      </c>
      <c r="AB9" s="401" t="s">
        <v>1</v>
      </c>
      <c r="AC9" s="402"/>
      <c r="AD9" s="403"/>
    </row>
    <row r="10" spans="1:35" ht="16" customHeight="1" thickBot="1" x14ac:dyDescent="0.35">
      <c r="A10" s="263">
        <v>1.5</v>
      </c>
      <c r="B10" s="163">
        <v>50</v>
      </c>
      <c r="C10" s="145">
        <v>147</v>
      </c>
      <c r="D10" s="145">
        <v>305</v>
      </c>
      <c r="E10" s="145">
        <v>529</v>
      </c>
      <c r="F10" s="145">
        <v>813</v>
      </c>
      <c r="G10" s="172">
        <v>1165</v>
      </c>
      <c r="H10" s="170"/>
      <c r="I10" s="263">
        <v>1.5</v>
      </c>
      <c r="J10" s="150">
        <v>88</v>
      </c>
      <c r="K10" s="151">
        <v>259</v>
      </c>
      <c r="L10" s="151">
        <v>537</v>
      </c>
      <c r="M10" s="151">
        <v>931</v>
      </c>
      <c r="N10" s="151">
        <v>1430</v>
      </c>
      <c r="O10" s="152">
        <v>2049</v>
      </c>
      <c r="P10" s="170"/>
      <c r="Q10" s="263">
        <v>1.5</v>
      </c>
      <c r="R10" s="166">
        <v>198</v>
      </c>
      <c r="S10" s="158">
        <v>582</v>
      </c>
      <c r="T10" s="158">
        <v>1208</v>
      </c>
      <c r="U10" s="158">
        <v>2096</v>
      </c>
      <c r="V10" s="158">
        <v>3221</v>
      </c>
      <c r="W10" s="159">
        <v>4616</v>
      </c>
      <c r="X10" s="170"/>
      <c r="Z10" s="405"/>
      <c r="AA10" s="407"/>
      <c r="AB10" s="175" t="s">
        <v>52</v>
      </c>
      <c r="AC10" s="174" t="s">
        <v>34</v>
      </c>
      <c r="AD10" s="71" t="s">
        <v>53</v>
      </c>
    </row>
    <row r="11" spans="1:35" ht="16" customHeight="1" thickBot="1" x14ac:dyDescent="0.35">
      <c r="A11" s="263">
        <v>2</v>
      </c>
      <c r="B11" s="163">
        <v>59</v>
      </c>
      <c r="C11" s="145">
        <v>163</v>
      </c>
      <c r="D11" s="145">
        <v>320</v>
      </c>
      <c r="E11" s="145">
        <v>546</v>
      </c>
      <c r="F11" s="145">
        <v>830</v>
      </c>
      <c r="G11" s="172">
        <v>1185</v>
      </c>
      <c r="H11" s="170"/>
      <c r="I11" s="263">
        <v>2</v>
      </c>
      <c r="J11" s="150">
        <v>104</v>
      </c>
      <c r="K11" s="151">
        <v>287</v>
      </c>
      <c r="L11" s="151">
        <v>563</v>
      </c>
      <c r="M11" s="151">
        <v>960</v>
      </c>
      <c r="N11" s="151">
        <v>1460</v>
      </c>
      <c r="O11" s="152">
        <v>2084</v>
      </c>
      <c r="P11" s="170"/>
      <c r="Q11" s="263">
        <v>2</v>
      </c>
      <c r="R11" s="166">
        <v>234</v>
      </c>
      <c r="S11" s="158">
        <v>646</v>
      </c>
      <c r="T11" s="158">
        <v>1268</v>
      </c>
      <c r="U11" s="158">
        <v>2163</v>
      </c>
      <c r="V11" s="158">
        <v>3289</v>
      </c>
      <c r="W11" s="159">
        <v>4695</v>
      </c>
      <c r="X11" s="170"/>
      <c r="Z11" s="67">
        <v>2</v>
      </c>
      <c r="AA11" s="190">
        <v>1</v>
      </c>
      <c r="AB11" s="185">
        <f>Interpolate2DTable(Z11,AA11,$A$6:$G$37)</f>
        <v>163</v>
      </c>
      <c r="AC11" s="186">
        <f>Interpolate2DTable(Z11,AA11,$I$6:$O$37)</f>
        <v>287</v>
      </c>
      <c r="AD11" s="241">
        <f>Interpolate2DTable(Z11,AA11,$Q$6:$W$37)</f>
        <v>646</v>
      </c>
    </row>
    <row r="12" spans="1:35" ht="16" customHeight="1" x14ac:dyDescent="0.3">
      <c r="A12" s="263">
        <v>2.5</v>
      </c>
      <c r="B12" s="163">
        <v>68</v>
      </c>
      <c r="C12" s="145">
        <v>179</v>
      </c>
      <c r="D12" s="145">
        <v>340</v>
      </c>
      <c r="E12" s="145">
        <v>569</v>
      </c>
      <c r="F12" s="145">
        <v>851</v>
      </c>
      <c r="G12" s="172">
        <v>1210</v>
      </c>
      <c r="H12" s="170"/>
      <c r="I12" s="263">
        <v>2.5</v>
      </c>
      <c r="J12" s="150">
        <v>120</v>
      </c>
      <c r="K12" s="151">
        <v>315</v>
      </c>
      <c r="L12" s="151">
        <v>598</v>
      </c>
      <c r="M12" s="151">
        <v>1001</v>
      </c>
      <c r="N12" s="151">
        <v>1497</v>
      </c>
      <c r="O12" s="152">
        <v>2128</v>
      </c>
      <c r="P12" s="170"/>
      <c r="Q12" s="263">
        <v>2.5</v>
      </c>
      <c r="R12" s="166">
        <v>269</v>
      </c>
      <c r="S12" s="158">
        <v>709</v>
      </c>
      <c r="T12" s="158">
        <v>1347</v>
      </c>
      <c r="U12" s="158">
        <v>2255</v>
      </c>
      <c r="V12" s="158">
        <v>3372</v>
      </c>
      <c r="W12" s="159">
        <v>4794</v>
      </c>
      <c r="X12" s="170"/>
    </row>
    <row r="13" spans="1:35" ht="16" customHeight="1" x14ac:dyDescent="0.3">
      <c r="A13" s="263">
        <v>3</v>
      </c>
      <c r="B13" s="163">
        <v>79</v>
      </c>
      <c r="C13" s="145">
        <v>196</v>
      </c>
      <c r="D13" s="145">
        <v>365</v>
      </c>
      <c r="E13" s="145">
        <v>594</v>
      </c>
      <c r="F13" s="145">
        <v>877</v>
      </c>
      <c r="G13" s="172">
        <v>1237</v>
      </c>
      <c r="H13" s="170"/>
      <c r="I13" s="263">
        <v>3</v>
      </c>
      <c r="J13" s="150">
        <v>139</v>
      </c>
      <c r="K13" s="151">
        <v>345</v>
      </c>
      <c r="L13" s="151">
        <v>642</v>
      </c>
      <c r="M13" s="151">
        <v>1045</v>
      </c>
      <c r="N13" s="151">
        <v>1543</v>
      </c>
      <c r="O13" s="152">
        <v>2176</v>
      </c>
      <c r="P13" s="170"/>
      <c r="Q13" s="263">
        <v>3</v>
      </c>
      <c r="R13" s="166">
        <v>313</v>
      </c>
      <c r="S13" s="158">
        <v>777</v>
      </c>
      <c r="T13" s="158">
        <v>1446</v>
      </c>
      <c r="U13" s="158">
        <v>2354</v>
      </c>
      <c r="V13" s="158">
        <v>3475</v>
      </c>
      <c r="W13" s="159">
        <v>4901</v>
      </c>
      <c r="X13" s="170"/>
    </row>
    <row r="14" spans="1:35" ht="16" customHeight="1" x14ac:dyDescent="0.3">
      <c r="A14" s="263">
        <v>3.5</v>
      </c>
      <c r="B14" s="163">
        <v>89</v>
      </c>
      <c r="C14" s="145">
        <v>216</v>
      </c>
      <c r="D14" s="145">
        <v>392</v>
      </c>
      <c r="E14" s="145">
        <v>620</v>
      </c>
      <c r="F14" s="145">
        <v>908</v>
      </c>
      <c r="G14" s="172">
        <v>1268</v>
      </c>
      <c r="H14" s="170"/>
      <c r="I14" s="263">
        <v>3.5</v>
      </c>
      <c r="J14" s="150">
        <v>157</v>
      </c>
      <c r="K14" s="151">
        <v>380</v>
      </c>
      <c r="L14" s="151">
        <v>690</v>
      </c>
      <c r="M14" s="151">
        <v>1091</v>
      </c>
      <c r="N14" s="151">
        <v>1597</v>
      </c>
      <c r="O14" s="152">
        <v>2230</v>
      </c>
      <c r="P14" s="170"/>
      <c r="Q14" s="263">
        <v>3.5</v>
      </c>
      <c r="R14" s="166">
        <v>353</v>
      </c>
      <c r="S14" s="158">
        <v>856</v>
      </c>
      <c r="T14" s="158">
        <v>1553</v>
      </c>
      <c r="U14" s="158">
        <v>2457</v>
      </c>
      <c r="V14" s="158">
        <v>3598</v>
      </c>
      <c r="W14" s="159">
        <v>5024</v>
      </c>
      <c r="X14" s="170"/>
      <c r="Y14" s="188"/>
      <c r="Z14" s="245"/>
      <c r="AA14" s="188"/>
      <c r="AB14" s="188"/>
      <c r="AC14" s="188"/>
      <c r="AD14" s="188"/>
      <c r="AE14" s="188"/>
      <c r="AF14" s="188"/>
      <c r="AG14" s="188"/>
      <c r="AH14" s="188"/>
      <c r="AI14" s="188"/>
    </row>
    <row r="15" spans="1:35" ht="16" customHeight="1" x14ac:dyDescent="0.3">
      <c r="A15" s="263">
        <v>4</v>
      </c>
      <c r="B15" s="163">
        <v>100</v>
      </c>
      <c r="C15" s="145">
        <v>234</v>
      </c>
      <c r="D15" s="145">
        <v>417</v>
      </c>
      <c r="E15" s="145">
        <v>650</v>
      </c>
      <c r="F15" s="145">
        <v>943</v>
      </c>
      <c r="G15" s="172">
        <v>1300</v>
      </c>
      <c r="H15" s="170"/>
      <c r="I15" s="263">
        <v>4</v>
      </c>
      <c r="J15" s="150">
        <v>176</v>
      </c>
      <c r="K15" s="151">
        <v>412</v>
      </c>
      <c r="L15" s="151">
        <v>734</v>
      </c>
      <c r="M15" s="151">
        <v>1143</v>
      </c>
      <c r="N15" s="151">
        <v>1659</v>
      </c>
      <c r="O15" s="152">
        <v>2287</v>
      </c>
      <c r="P15" s="170"/>
      <c r="Q15" s="263">
        <v>4</v>
      </c>
      <c r="R15" s="166">
        <v>396</v>
      </c>
      <c r="S15" s="158">
        <v>927</v>
      </c>
      <c r="T15" s="158">
        <v>1652</v>
      </c>
      <c r="U15" s="158">
        <v>2575</v>
      </c>
      <c r="V15" s="158">
        <v>3736</v>
      </c>
      <c r="W15" s="159">
        <v>5151</v>
      </c>
      <c r="X15" s="170"/>
      <c r="Y15" s="188"/>
      <c r="Z15" s="246"/>
      <c r="AA15" s="247"/>
      <c r="AB15" s="188"/>
      <c r="AC15" s="188"/>
      <c r="AD15" s="188"/>
      <c r="AE15" s="188"/>
      <c r="AF15" s="188"/>
      <c r="AG15" s="188"/>
      <c r="AH15" s="188"/>
      <c r="AI15" s="188"/>
    </row>
    <row r="16" spans="1:35" ht="16" customHeight="1" x14ac:dyDescent="0.3">
      <c r="A16" s="263">
        <v>4.5</v>
      </c>
      <c r="B16" s="163">
        <v>112</v>
      </c>
      <c r="C16" s="145">
        <v>254</v>
      </c>
      <c r="D16" s="145">
        <v>444</v>
      </c>
      <c r="E16" s="145">
        <v>683</v>
      </c>
      <c r="F16" s="145">
        <v>980</v>
      </c>
      <c r="G16" s="172">
        <v>1337</v>
      </c>
      <c r="H16" s="170"/>
      <c r="I16" s="263">
        <v>4.5</v>
      </c>
      <c r="J16" s="150">
        <v>197</v>
      </c>
      <c r="K16" s="151">
        <v>447</v>
      </c>
      <c r="L16" s="151">
        <v>781</v>
      </c>
      <c r="M16" s="151">
        <v>1201</v>
      </c>
      <c r="N16" s="151">
        <v>1724</v>
      </c>
      <c r="O16" s="152">
        <v>2352</v>
      </c>
      <c r="P16" s="170"/>
      <c r="Q16" s="263">
        <v>4.5</v>
      </c>
      <c r="R16" s="166">
        <v>444</v>
      </c>
      <c r="S16" s="158">
        <v>1006</v>
      </c>
      <c r="T16" s="158">
        <v>1759</v>
      </c>
      <c r="U16" s="158">
        <v>2706</v>
      </c>
      <c r="V16" s="158">
        <v>3883</v>
      </c>
      <c r="W16" s="159">
        <v>5297</v>
      </c>
      <c r="X16" s="170"/>
      <c r="Y16" s="188"/>
      <c r="Z16" s="188"/>
      <c r="AA16" s="188"/>
      <c r="AB16" s="188"/>
      <c r="AC16" s="188"/>
      <c r="AD16" s="188"/>
      <c r="AE16" s="188"/>
      <c r="AF16" s="188"/>
      <c r="AG16" s="188"/>
      <c r="AH16" s="188"/>
      <c r="AI16" s="188"/>
    </row>
    <row r="17" spans="1:35" ht="16" customHeight="1" x14ac:dyDescent="0.3">
      <c r="A17" s="263">
        <v>5</v>
      </c>
      <c r="B17" s="163">
        <v>123</v>
      </c>
      <c r="C17" s="145">
        <v>276</v>
      </c>
      <c r="D17" s="145">
        <v>471</v>
      </c>
      <c r="E17" s="145">
        <v>718</v>
      </c>
      <c r="F17" s="145">
        <v>1018</v>
      </c>
      <c r="G17" s="172">
        <v>1377</v>
      </c>
      <c r="H17" s="170"/>
      <c r="I17" s="263">
        <v>5</v>
      </c>
      <c r="J17" s="150">
        <v>216</v>
      </c>
      <c r="K17" s="151">
        <v>486</v>
      </c>
      <c r="L17" s="151">
        <v>829</v>
      </c>
      <c r="M17" s="151">
        <v>1263</v>
      </c>
      <c r="N17" s="151">
        <v>1791</v>
      </c>
      <c r="O17" s="152">
        <v>2422</v>
      </c>
      <c r="P17" s="170"/>
      <c r="Q17" s="263">
        <v>5</v>
      </c>
      <c r="R17" s="166">
        <v>487</v>
      </c>
      <c r="S17" s="158">
        <v>1094</v>
      </c>
      <c r="T17" s="158">
        <v>1866</v>
      </c>
      <c r="U17" s="158">
        <v>2845</v>
      </c>
      <c r="V17" s="158">
        <v>4034</v>
      </c>
      <c r="W17" s="159">
        <v>5456</v>
      </c>
      <c r="X17" s="170"/>
      <c r="Y17" s="188"/>
      <c r="Z17" s="248"/>
      <c r="AA17" s="188"/>
      <c r="AB17" s="188"/>
      <c r="AC17" s="188"/>
      <c r="AD17" s="188"/>
      <c r="AE17" s="188"/>
      <c r="AF17" s="188"/>
      <c r="AG17" s="188"/>
      <c r="AH17" s="188"/>
      <c r="AI17" s="188"/>
    </row>
    <row r="18" spans="1:35" ht="16" customHeight="1" x14ac:dyDescent="0.35">
      <c r="A18" s="263">
        <v>5.5</v>
      </c>
      <c r="B18" s="163">
        <v>135</v>
      </c>
      <c r="C18" s="145">
        <v>296</v>
      </c>
      <c r="D18" s="145">
        <v>500</v>
      </c>
      <c r="E18" s="145">
        <v>753</v>
      </c>
      <c r="F18" s="145">
        <v>1068</v>
      </c>
      <c r="G18" s="172">
        <v>1420</v>
      </c>
      <c r="H18" s="170"/>
      <c r="I18" s="263">
        <v>5.5</v>
      </c>
      <c r="J18" s="150">
        <v>237</v>
      </c>
      <c r="K18" s="151">
        <v>521</v>
      </c>
      <c r="L18" s="151">
        <v>880</v>
      </c>
      <c r="M18" s="151">
        <v>1325</v>
      </c>
      <c r="N18" s="151">
        <v>1879</v>
      </c>
      <c r="O18" s="152">
        <v>2498</v>
      </c>
      <c r="P18" s="170"/>
      <c r="Q18" s="263">
        <v>5.5</v>
      </c>
      <c r="R18" s="166">
        <v>535</v>
      </c>
      <c r="S18" s="158">
        <v>1173</v>
      </c>
      <c r="T18" s="158">
        <v>1981</v>
      </c>
      <c r="U18" s="158">
        <v>2984</v>
      </c>
      <c r="V18" s="158">
        <v>4232</v>
      </c>
      <c r="W18" s="159">
        <v>5626</v>
      </c>
      <c r="X18" s="170"/>
      <c r="Y18" s="188"/>
      <c r="Z18" s="249"/>
      <c r="AA18" s="188"/>
      <c r="AB18" s="188"/>
      <c r="AC18" s="188"/>
      <c r="AD18" s="188"/>
      <c r="AE18" s="188"/>
      <c r="AF18" s="188"/>
      <c r="AG18" s="188"/>
      <c r="AH18" s="188"/>
      <c r="AI18" s="188"/>
    </row>
    <row r="19" spans="1:35" ht="16" customHeight="1" x14ac:dyDescent="0.3">
      <c r="A19" s="263">
        <v>6</v>
      </c>
      <c r="B19" s="163">
        <v>147</v>
      </c>
      <c r="C19" s="145">
        <v>316</v>
      </c>
      <c r="D19" s="145">
        <v>530</v>
      </c>
      <c r="E19" s="145">
        <v>789</v>
      </c>
      <c r="F19" s="145">
        <v>1101</v>
      </c>
      <c r="G19" s="172">
        <v>1466</v>
      </c>
      <c r="H19" s="170"/>
      <c r="I19" s="263">
        <v>6</v>
      </c>
      <c r="J19" s="150">
        <v>259</v>
      </c>
      <c r="K19" s="151">
        <v>556</v>
      </c>
      <c r="L19" s="151">
        <v>932</v>
      </c>
      <c r="M19" s="151">
        <v>1388</v>
      </c>
      <c r="N19" s="151">
        <v>1937</v>
      </c>
      <c r="O19" s="152">
        <v>2579</v>
      </c>
      <c r="P19" s="170"/>
      <c r="Q19" s="263">
        <v>6</v>
      </c>
      <c r="R19" s="166">
        <v>582</v>
      </c>
      <c r="S19" s="158">
        <v>1252</v>
      </c>
      <c r="T19" s="158">
        <v>2100</v>
      </c>
      <c r="U19" s="158">
        <v>3126</v>
      </c>
      <c r="V19" s="158">
        <v>4362</v>
      </c>
      <c r="W19" s="159">
        <v>5809</v>
      </c>
      <c r="X19" s="170"/>
      <c r="Y19" s="188"/>
      <c r="Z19" s="188"/>
      <c r="AA19" s="250"/>
      <c r="AB19" s="251"/>
      <c r="AC19" s="251"/>
      <c r="AD19" s="250"/>
      <c r="AE19" s="250"/>
      <c r="AF19" s="250"/>
      <c r="AG19" s="188"/>
      <c r="AH19" s="188"/>
      <c r="AI19" s="188"/>
    </row>
    <row r="20" spans="1:35" ht="16" customHeight="1" x14ac:dyDescent="0.3">
      <c r="A20" s="263">
        <v>6.5</v>
      </c>
      <c r="B20" s="163">
        <v>157</v>
      </c>
      <c r="C20" s="145">
        <v>337</v>
      </c>
      <c r="D20" s="145">
        <v>560</v>
      </c>
      <c r="E20" s="145">
        <v>827</v>
      </c>
      <c r="F20" s="145">
        <v>1145</v>
      </c>
      <c r="G20" s="172">
        <v>1515</v>
      </c>
      <c r="H20" s="170"/>
      <c r="I20" s="263">
        <v>6.5</v>
      </c>
      <c r="J20" s="150">
        <v>276</v>
      </c>
      <c r="K20" s="151">
        <v>593</v>
      </c>
      <c r="L20" s="151">
        <v>985</v>
      </c>
      <c r="M20" s="151">
        <v>1455</v>
      </c>
      <c r="N20" s="151">
        <v>2014</v>
      </c>
      <c r="O20" s="152">
        <v>2665</v>
      </c>
      <c r="P20" s="170"/>
      <c r="Q20" s="263">
        <v>6.5</v>
      </c>
      <c r="R20" s="166">
        <v>622</v>
      </c>
      <c r="S20" s="158">
        <v>1335</v>
      </c>
      <c r="T20" s="158">
        <v>2219</v>
      </c>
      <c r="U20" s="158">
        <v>3277</v>
      </c>
      <c r="V20" s="158">
        <v>4537</v>
      </c>
      <c r="W20" s="159">
        <v>6003</v>
      </c>
      <c r="X20" s="170"/>
      <c r="Y20" s="188"/>
      <c r="Z20" s="384"/>
      <c r="AA20" s="385"/>
      <c r="AB20" s="252"/>
      <c r="AC20" s="252"/>
      <c r="AD20" s="252"/>
      <c r="AE20" s="252"/>
      <c r="AF20" s="252"/>
      <c r="AG20" s="188"/>
      <c r="AH20" s="188"/>
      <c r="AI20" s="188"/>
    </row>
    <row r="21" spans="1:35" ht="16" customHeight="1" x14ac:dyDescent="0.3">
      <c r="A21" s="263">
        <v>7</v>
      </c>
      <c r="B21" s="163">
        <v>169</v>
      </c>
      <c r="C21" s="145">
        <v>359</v>
      </c>
      <c r="D21" s="145">
        <v>588</v>
      </c>
      <c r="E21" s="145">
        <v>864</v>
      </c>
      <c r="F21" s="145">
        <v>1189</v>
      </c>
      <c r="G21" s="172">
        <v>1564</v>
      </c>
      <c r="H21" s="170"/>
      <c r="I21" s="263">
        <v>7</v>
      </c>
      <c r="J21" s="150">
        <v>297</v>
      </c>
      <c r="K21" s="151">
        <v>632</v>
      </c>
      <c r="L21" s="151">
        <v>1034</v>
      </c>
      <c r="M21" s="151">
        <v>1520</v>
      </c>
      <c r="N21" s="151">
        <v>2092</v>
      </c>
      <c r="O21" s="152">
        <v>2751</v>
      </c>
      <c r="P21" s="170"/>
      <c r="Q21" s="263">
        <v>7</v>
      </c>
      <c r="R21" s="166">
        <v>670</v>
      </c>
      <c r="S21" s="158">
        <v>1422</v>
      </c>
      <c r="T21" s="158">
        <v>2330</v>
      </c>
      <c r="U21" s="158">
        <v>3423</v>
      </c>
      <c r="V21" s="158">
        <v>4711</v>
      </c>
      <c r="W21" s="159">
        <v>6197</v>
      </c>
      <c r="X21" s="170"/>
      <c r="Y21" s="188"/>
      <c r="Z21" s="384"/>
      <c r="AA21" s="385"/>
      <c r="AB21" s="252"/>
      <c r="AC21" s="252"/>
      <c r="AD21" s="252"/>
      <c r="AE21" s="252"/>
      <c r="AF21" s="252"/>
      <c r="AG21" s="188"/>
      <c r="AH21" s="188"/>
      <c r="AI21" s="188"/>
    </row>
    <row r="22" spans="1:35" ht="16" customHeight="1" x14ac:dyDescent="0.3">
      <c r="A22" s="263">
        <v>7.5</v>
      </c>
      <c r="B22" s="163">
        <v>181</v>
      </c>
      <c r="C22" s="145">
        <v>381</v>
      </c>
      <c r="D22" s="145">
        <v>620</v>
      </c>
      <c r="E22" s="145">
        <v>904</v>
      </c>
      <c r="F22" s="145">
        <v>1234</v>
      </c>
      <c r="G22" s="172">
        <v>1615</v>
      </c>
      <c r="H22" s="170"/>
      <c r="I22" s="263">
        <v>7.5</v>
      </c>
      <c r="J22" s="150">
        <v>318</v>
      </c>
      <c r="K22" s="151">
        <v>670</v>
      </c>
      <c r="L22" s="151">
        <v>1091</v>
      </c>
      <c r="M22" s="151">
        <v>1590</v>
      </c>
      <c r="N22" s="151">
        <v>2171</v>
      </c>
      <c r="O22" s="152">
        <v>2841</v>
      </c>
      <c r="P22" s="170"/>
      <c r="Q22" s="263">
        <v>7.5</v>
      </c>
      <c r="R22" s="166">
        <v>717</v>
      </c>
      <c r="S22" s="158">
        <v>1510</v>
      </c>
      <c r="T22" s="158">
        <v>2457</v>
      </c>
      <c r="U22" s="158">
        <v>3582</v>
      </c>
      <c r="V22" s="158">
        <v>4889</v>
      </c>
      <c r="W22" s="159">
        <v>6399</v>
      </c>
      <c r="X22" s="170"/>
      <c r="Y22" s="188"/>
      <c r="Z22" s="384"/>
      <c r="AA22" s="385"/>
      <c r="AB22" s="252"/>
      <c r="AC22" s="252"/>
      <c r="AD22" s="252"/>
      <c r="AE22" s="252"/>
      <c r="AF22" s="252"/>
      <c r="AG22" s="188"/>
      <c r="AH22" s="188"/>
      <c r="AI22" s="188"/>
    </row>
    <row r="23" spans="1:35" ht="16" customHeight="1" x14ac:dyDescent="0.3">
      <c r="A23" s="263">
        <v>8</v>
      </c>
      <c r="B23" s="163">
        <v>192</v>
      </c>
      <c r="C23" s="145">
        <v>404</v>
      </c>
      <c r="D23" s="145">
        <v>651</v>
      </c>
      <c r="E23" s="145">
        <v>944</v>
      </c>
      <c r="F23" s="145">
        <v>1281</v>
      </c>
      <c r="G23" s="172">
        <v>1668</v>
      </c>
      <c r="H23" s="170"/>
      <c r="I23" s="263">
        <v>8</v>
      </c>
      <c r="J23" s="150">
        <v>338</v>
      </c>
      <c r="K23" s="151">
        <v>711</v>
      </c>
      <c r="L23" s="151">
        <v>1145</v>
      </c>
      <c r="M23" s="151">
        <v>1661</v>
      </c>
      <c r="N23" s="151">
        <v>2253</v>
      </c>
      <c r="O23" s="152">
        <v>2934</v>
      </c>
      <c r="P23" s="170"/>
      <c r="Q23" s="263">
        <v>8</v>
      </c>
      <c r="R23" s="166">
        <v>761</v>
      </c>
      <c r="S23" s="158">
        <v>1601</v>
      </c>
      <c r="T23" s="158">
        <v>2579</v>
      </c>
      <c r="U23" s="158">
        <v>3740</v>
      </c>
      <c r="V23" s="158">
        <v>5076</v>
      </c>
      <c r="W23" s="159">
        <v>6609</v>
      </c>
      <c r="X23" s="170"/>
      <c r="Y23" s="188"/>
      <c r="Z23" s="188"/>
      <c r="AA23" s="188"/>
      <c r="AB23" s="188"/>
      <c r="AC23" s="188"/>
      <c r="AD23" s="188"/>
      <c r="AE23" s="188"/>
      <c r="AF23" s="188"/>
      <c r="AG23" s="188"/>
      <c r="AH23" s="188"/>
      <c r="AI23" s="188"/>
    </row>
    <row r="24" spans="1:35" ht="16" customHeight="1" x14ac:dyDescent="0.3">
      <c r="A24" s="263">
        <v>8.5</v>
      </c>
      <c r="B24" s="163">
        <v>202</v>
      </c>
      <c r="C24" s="145">
        <v>426</v>
      </c>
      <c r="D24" s="145">
        <v>683</v>
      </c>
      <c r="E24" s="145">
        <v>983</v>
      </c>
      <c r="F24" s="145">
        <v>1328</v>
      </c>
      <c r="G24" s="172">
        <v>1721</v>
      </c>
      <c r="H24" s="170"/>
      <c r="I24" s="263">
        <v>8.5</v>
      </c>
      <c r="J24" s="150">
        <v>355</v>
      </c>
      <c r="K24" s="151">
        <v>749</v>
      </c>
      <c r="L24" s="151">
        <v>1201</v>
      </c>
      <c r="M24" s="151">
        <v>1729</v>
      </c>
      <c r="N24" s="151">
        <v>2336</v>
      </c>
      <c r="O24" s="152">
        <v>3027</v>
      </c>
      <c r="P24" s="170"/>
      <c r="Q24" s="263">
        <v>8.5</v>
      </c>
      <c r="R24" s="166">
        <v>800</v>
      </c>
      <c r="S24" s="158">
        <v>1688</v>
      </c>
      <c r="T24" s="158">
        <v>2706</v>
      </c>
      <c r="U24" s="158">
        <v>3895</v>
      </c>
      <c r="V24" s="158">
        <v>5262</v>
      </c>
      <c r="W24" s="159">
        <v>6819</v>
      </c>
      <c r="X24" s="170"/>
      <c r="Y24" s="188"/>
      <c r="Z24" s="248"/>
      <c r="AA24" s="188"/>
      <c r="AB24" s="188"/>
      <c r="AC24" s="188"/>
      <c r="AD24" s="188"/>
      <c r="AE24" s="188"/>
      <c r="AF24" s="188"/>
      <c r="AG24" s="188"/>
      <c r="AH24" s="188"/>
      <c r="AI24" s="188"/>
    </row>
    <row r="25" spans="1:35" ht="16" customHeight="1" x14ac:dyDescent="0.3">
      <c r="A25" s="263">
        <v>9</v>
      </c>
      <c r="B25" s="163">
        <v>213</v>
      </c>
      <c r="C25" s="145">
        <v>448</v>
      </c>
      <c r="D25" s="145">
        <v>714</v>
      </c>
      <c r="E25" s="145">
        <v>1025</v>
      </c>
      <c r="F25" s="145">
        <v>1375</v>
      </c>
      <c r="G25" s="172">
        <v>1776</v>
      </c>
      <c r="H25" s="170"/>
      <c r="I25" s="263">
        <v>9</v>
      </c>
      <c r="J25" s="150">
        <v>375</v>
      </c>
      <c r="K25" s="151">
        <v>788</v>
      </c>
      <c r="L25" s="151">
        <v>1256</v>
      </c>
      <c r="M25" s="151">
        <v>1803</v>
      </c>
      <c r="N25" s="151">
        <v>2419</v>
      </c>
      <c r="O25" s="152">
        <v>3124</v>
      </c>
      <c r="P25" s="170"/>
      <c r="Q25" s="263">
        <v>9</v>
      </c>
      <c r="R25" s="166">
        <v>844</v>
      </c>
      <c r="S25" s="158">
        <v>1775</v>
      </c>
      <c r="T25" s="158">
        <v>2829</v>
      </c>
      <c r="U25" s="158">
        <v>4061</v>
      </c>
      <c r="V25" s="158">
        <v>5448</v>
      </c>
      <c r="W25" s="159">
        <v>7037</v>
      </c>
      <c r="X25" s="170"/>
      <c r="Y25" s="188"/>
      <c r="Z25" s="253"/>
      <c r="AA25" s="188"/>
      <c r="AB25" s="188"/>
      <c r="AC25" s="188"/>
      <c r="AD25" s="188"/>
      <c r="AE25" s="188"/>
      <c r="AF25" s="188"/>
      <c r="AG25" s="188"/>
      <c r="AH25" s="188"/>
      <c r="AI25" s="188"/>
    </row>
    <row r="26" spans="1:35" ht="16" customHeight="1" x14ac:dyDescent="0.3">
      <c r="A26" s="263">
        <v>9.5</v>
      </c>
      <c r="B26" s="163">
        <v>224</v>
      </c>
      <c r="C26" s="145">
        <v>470</v>
      </c>
      <c r="D26" s="145">
        <v>747</v>
      </c>
      <c r="E26" s="145">
        <v>1066</v>
      </c>
      <c r="F26" s="145">
        <v>1424</v>
      </c>
      <c r="G26" s="172">
        <v>1830</v>
      </c>
      <c r="H26" s="170"/>
      <c r="I26" s="263">
        <v>9.5</v>
      </c>
      <c r="J26" s="150">
        <v>394</v>
      </c>
      <c r="K26" s="151">
        <v>827</v>
      </c>
      <c r="L26" s="151">
        <v>1314</v>
      </c>
      <c r="M26" s="151">
        <v>1875</v>
      </c>
      <c r="N26" s="151">
        <v>2505</v>
      </c>
      <c r="O26" s="152">
        <v>3219</v>
      </c>
      <c r="P26" s="170"/>
      <c r="Q26" s="263">
        <v>9.5</v>
      </c>
      <c r="R26" s="166">
        <v>888</v>
      </c>
      <c r="S26" s="158">
        <v>1862</v>
      </c>
      <c r="T26" s="158">
        <v>2960</v>
      </c>
      <c r="U26" s="158">
        <v>4224</v>
      </c>
      <c r="V26" s="158">
        <v>5642</v>
      </c>
      <c r="W26" s="159">
        <v>7251</v>
      </c>
      <c r="X26" s="170"/>
      <c r="Y26" s="188"/>
      <c r="Z26" s="54"/>
      <c r="AA26" s="254"/>
      <c r="AB26" s="254"/>
      <c r="AC26" s="254"/>
      <c r="AD26" s="254"/>
      <c r="AE26" s="254"/>
      <c r="AF26" s="254"/>
      <c r="AG26" s="188"/>
      <c r="AH26" s="188"/>
      <c r="AI26" s="188"/>
    </row>
    <row r="27" spans="1:35" ht="16" customHeight="1" x14ac:dyDescent="0.3">
      <c r="A27" s="263">
        <v>10</v>
      </c>
      <c r="B27" s="163">
        <v>235</v>
      </c>
      <c r="C27" s="145">
        <v>493</v>
      </c>
      <c r="D27" s="145">
        <v>778</v>
      </c>
      <c r="E27" s="145">
        <v>1109</v>
      </c>
      <c r="F27" s="145">
        <v>1472</v>
      </c>
      <c r="G27" s="172">
        <v>1887</v>
      </c>
      <c r="H27" s="170"/>
      <c r="I27" s="263">
        <v>10</v>
      </c>
      <c r="J27" s="150">
        <v>413</v>
      </c>
      <c r="K27" s="151">
        <v>867</v>
      </c>
      <c r="L27" s="151">
        <v>1369</v>
      </c>
      <c r="M27" s="151">
        <v>1951</v>
      </c>
      <c r="N27" s="151">
        <v>2589</v>
      </c>
      <c r="O27" s="152">
        <v>3319</v>
      </c>
      <c r="P27" s="170"/>
      <c r="Q27" s="263">
        <v>10</v>
      </c>
      <c r="R27" s="166">
        <v>931</v>
      </c>
      <c r="S27" s="158">
        <v>1953</v>
      </c>
      <c r="T27" s="158">
        <v>3083</v>
      </c>
      <c r="U27" s="158">
        <v>4394</v>
      </c>
      <c r="V27" s="158">
        <v>5832</v>
      </c>
      <c r="W27" s="159">
        <v>7477</v>
      </c>
      <c r="X27" s="170"/>
      <c r="Y27" s="188"/>
      <c r="Z27" s="386"/>
      <c r="AA27" s="387"/>
      <c r="AB27" s="388"/>
      <c r="AC27" s="388"/>
      <c r="AD27" s="388"/>
      <c r="AE27" s="388"/>
      <c r="AF27" s="388"/>
      <c r="AG27" s="188"/>
      <c r="AH27" s="188"/>
      <c r="AI27" s="188"/>
    </row>
    <row r="28" spans="1:35" ht="16" customHeight="1" x14ac:dyDescent="0.3">
      <c r="A28" s="263">
        <v>11</v>
      </c>
      <c r="B28" s="163">
        <v>257</v>
      </c>
      <c r="C28" s="145">
        <v>536</v>
      </c>
      <c r="D28" s="145">
        <v>843</v>
      </c>
      <c r="E28" s="145">
        <v>1189</v>
      </c>
      <c r="F28" s="145">
        <v>1571</v>
      </c>
      <c r="G28" s="172">
        <v>2003</v>
      </c>
      <c r="H28" s="170"/>
      <c r="I28" s="263">
        <v>11</v>
      </c>
      <c r="J28" s="150">
        <v>452</v>
      </c>
      <c r="K28" s="151">
        <v>943</v>
      </c>
      <c r="L28" s="151">
        <v>1483</v>
      </c>
      <c r="M28" s="151">
        <v>2092</v>
      </c>
      <c r="N28" s="151">
        <v>2763</v>
      </c>
      <c r="O28" s="152">
        <v>3523</v>
      </c>
      <c r="P28" s="170"/>
      <c r="Q28" s="263">
        <v>11</v>
      </c>
      <c r="R28" s="166">
        <v>1018</v>
      </c>
      <c r="S28" s="158">
        <v>2124</v>
      </c>
      <c r="T28" s="158">
        <v>3340</v>
      </c>
      <c r="U28" s="158">
        <v>4711</v>
      </c>
      <c r="V28" s="158">
        <v>6225</v>
      </c>
      <c r="W28" s="159">
        <v>7936</v>
      </c>
      <c r="X28" s="170"/>
      <c r="Y28" s="188"/>
      <c r="Z28" s="387"/>
      <c r="AA28" s="387"/>
      <c r="AB28" s="387"/>
      <c r="AC28" s="387"/>
      <c r="AD28" s="387"/>
      <c r="AE28" s="387"/>
      <c r="AF28" s="387"/>
      <c r="AG28" s="188"/>
      <c r="AH28" s="188"/>
      <c r="AI28" s="188"/>
    </row>
    <row r="29" spans="1:35" ht="16" customHeight="1" x14ac:dyDescent="0.3">
      <c r="A29" s="263">
        <v>12</v>
      </c>
      <c r="B29" s="163">
        <v>280</v>
      </c>
      <c r="C29" s="145">
        <v>581</v>
      </c>
      <c r="D29" s="145">
        <v>908</v>
      </c>
      <c r="E29" s="145">
        <v>1272</v>
      </c>
      <c r="F29" s="145">
        <v>1674</v>
      </c>
      <c r="G29" s="172">
        <v>2121</v>
      </c>
      <c r="H29" s="170"/>
      <c r="I29" s="263">
        <v>12</v>
      </c>
      <c r="J29" s="150">
        <v>493</v>
      </c>
      <c r="K29" s="151">
        <v>1022</v>
      </c>
      <c r="L29" s="151">
        <v>1597</v>
      </c>
      <c r="M29" s="151">
        <v>2238</v>
      </c>
      <c r="N29" s="151">
        <v>2945</v>
      </c>
      <c r="O29" s="152">
        <v>3731</v>
      </c>
      <c r="P29" s="170"/>
      <c r="Q29" s="263">
        <v>12</v>
      </c>
      <c r="R29" s="166">
        <v>1109</v>
      </c>
      <c r="S29" s="158">
        <v>2302</v>
      </c>
      <c r="T29" s="158">
        <v>3598</v>
      </c>
      <c r="U29" s="158">
        <v>5040</v>
      </c>
      <c r="V29" s="158">
        <v>6633</v>
      </c>
      <c r="W29" s="159">
        <v>8404</v>
      </c>
      <c r="X29" s="170"/>
      <c r="Y29" s="188"/>
      <c r="Z29" s="386"/>
      <c r="AA29" s="389"/>
      <c r="AB29" s="388"/>
      <c r="AC29" s="256"/>
      <c r="AD29" s="256"/>
      <c r="AE29" s="256"/>
      <c r="AF29" s="256"/>
      <c r="AG29" s="188"/>
      <c r="AH29" s="188"/>
      <c r="AI29" s="188"/>
    </row>
    <row r="30" spans="1:35" ht="16" customHeight="1" x14ac:dyDescent="0.3">
      <c r="A30" s="263">
        <v>13</v>
      </c>
      <c r="B30" s="163">
        <v>303</v>
      </c>
      <c r="C30" s="145">
        <v>626</v>
      </c>
      <c r="D30" s="145">
        <v>972</v>
      </c>
      <c r="E30" s="145">
        <v>1357</v>
      </c>
      <c r="F30" s="145">
        <v>1777</v>
      </c>
      <c r="G30" s="172">
        <v>2242</v>
      </c>
      <c r="H30" s="170"/>
      <c r="I30" s="263">
        <v>13</v>
      </c>
      <c r="J30" s="150">
        <v>533</v>
      </c>
      <c r="K30" s="151">
        <v>1101</v>
      </c>
      <c r="L30" s="151">
        <v>1710</v>
      </c>
      <c r="M30" s="151">
        <v>2387</v>
      </c>
      <c r="N30" s="151">
        <v>3126</v>
      </c>
      <c r="O30" s="152">
        <v>3944</v>
      </c>
      <c r="P30" s="170"/>
      <c r="Q30" s="263">
        <v>13</v>
      </c>
      <c r="R30" s="166">
        <v>1201</v>
      </c>
      <c r="S30" s="158">
        <v>2480</v>
      </c>
      <c r="T30" s="158">
        <v>3851</v>
      </c>
      <c r="U30" s="158">
        <v>5377</v>
      </c>
      <c r="V30" s="158">
        <v>7041</v>
      </c>
      <c r="W30" s="159">
        <v>8883</v>
      </c>
      <c r="X30" s="170"/>
      <c r="Y30" s="188"/>
      <c r="Z30" s="389"/>
      <c r="AA30" s="389"/>
      <c r="AB30" s="387"/>
      <c r="AC30" s="2"/>
      <c r="AD30" s="2"/>
      <c r="AE30" s="2"/>
      <c r="AF30" s="2"/>
      <c r="AG30" s="188"/>
      <c r="AH30" s="188"/>
      <c r="AI30" s="188"/>
    </row>
    <row r="31" spans="1:35" ht="16" customHeight="1" x14ac:dyDescent="0.3">
      <c r="A31" s="263">
        <v>14</v>
      </c>
      <c r="B31" s="163">
        <v>326</v>
      </c>
      <c r="C31" s="145">
        <v>671</v>
      </c>
      <c r="D31" s="145">
        <v>1038</v>
      </c>
      <c r="E31" s="145">
        <v>1442</v>
      </c>
      <c r="F31" s="145">
        <v>1882</v>
      </c>
      <c r="G31" s="172">
        <v>2362</v>
      </c>
      <c r="H31" s="170"/>
      <c r="I31" s="263">
        <v>14</v>
      </c>
      <c r="J31" s="150">
        <v>573</v>
      </c>
      <c r="K31" s="151">
        <v>1180</v>
      </c>
      <c r="L31" s="151">
        <v>1826</v>
      </c>
      <c r="M31" s="151">
        <v>2537</v>
      </c>
      <c r="N31" s="151">
        <v>3311</v>
      </c>
      <c r="O31" s="152">
        <v>4155</v>
      </c>
      <c r="P31" s="170"/>
      <c r="Q31" s="263">
        <v>14</v>
      </c>
      <c r="R31" s="166">
        <v>1292</v>
      </c>
      <c r="S31" s="158">
        <v>2659</v>
      </c>
      <c r="T31" s="158">
        <v>4113</v>
      </c>
      <c r="U31" s="158">
        <v>5714</v>
      </c>
      <c r="V31" s="158">
        <v>7457</v>
      </c>
      <c r="W31" s="159">
        <v>9359</v>
      </c>
      <c r="X31" s="170"/>
      <c r="Y31" s="188"/>
      <c r="Z31" s="255"/>
      <c r="AA31" s="255"/>
      <c r="AB31" s="257"/>
      <c r="AC31" s="188"/>
      <c r="AD31" s="188"/>
      <c r="AE31" s="244"/>
      <c r="AF31" s="244"/>
      <c r="AG31" s="188"/>
      <c r="AH31" s="188"/>
      <c r="AI31" s="188"/>
    </row>
    <row r="32" spans="1:35" ht="16" customHeight="1" x14ac:dyDescent="0.3">
      <c r="A32" s="263">
        <v>15</v>
      </c>
      <c r="B32" s="163">
        <v>348</v>
      </c>
      <c r="C32" s="145">
        <v>716</v>
      </c>
      <c r="D32" s="145">
        <v>1103</v>
      </c>
      <c r="E32" s="145">
        <v>1529</v>
      </c>
      <c r="F32" s="145">
        <v>1990</v>
      </c>
      <c r="G32" s="172">
        <v>2484</v>
      </c>
      <c r="H32" s="170"/>
      <c r="I32" s="263">
        <v>15</v>
      </c>
      <c r="J32" s="150">
        <v>612</v>
      </c>
      <c r="K32" s="151">
        <v>1259</v>
      </c>
      <c r="L32" s="151">
        <v>1940</v>
      </c>
      <c r="M32" s="151">
        <v>2690</v>
      </c>
      <c r="N32" s="151">
        <v>3501</v>
      </c>
      <c r="O32" s="152">
        <v>4370</v>
      </c>
      <c r="P32" s="170"/>
      <c r="Q32" s="263">
        <v>15</v>
      </c>
      <c r="R32" s="166">
        <v>1379</v>
      </c>
      <c r="S32" s="158">
        <v>2837</v>
      </c>
      <c r="T32" s="158">
        <v>4370</v>
      </c>
      <c r="U32" s="158">
        <v>6058</v>
      </c>
      <c r="V32" s="158">
        <v>7885</v>
      </c>
      <c r="W32" s="159">
        <v>9842</v>
      </c>
      <c r="X32" s="170"/>
      <c r="Y32" s="188"/>
      <c r="Z32" s="255"/>
      <c r="AA32" s="255"/>
      <c r="AB32" s="2"/>
      <c r="AC32" s="2"/>
      <c r="AD32" s="2"/>
      <c r="AE32" s="2"/>
      <c r="AF32" s="2"/>
      <c r="AG32" s="188"/>
      <c r="AH32" s="188"/>
      <c r="AI32" s="188"/>
    </row>
    <row r="33" spans="1:35" ht="16" customHeight="1" x14ac:dyDescent="0.3">
      <c r="A33" s="263">
        <v>16</v>
      </c>
      <c r="B33" s="163">
        <v>371</v>
      </c>
      <c r="C33" s="145">
        <v>761</v>
      </c>
      <c r="D33" s="145">
        <v>1170</v>
      </c>
      <c r="E33" s="145">
        <v>1615</v>
      </c>
      <c r="F33" s="145">
        <v>2096</v>
      </c>
      <c r="G33" s="172">
        <v>2609</v>
      </c>
      <c r="H33" s="170"/>
      <c r="I33" s="263">
        <v>16</v>
      </c>
      <c r="J33" s="150">
        <v>653</v>
      </c>
      <c r="K33" s="151">
        <v>1339</v>
      </c>
      <c r="L33" s="151">
        <v>2058</v>
      </c>
      <c r="M33" s="151">
        <v>2841</v>
      </c>
      <c r="N33" s="151">
        <v>3687</v>
      </c>
      <c r="O33" s="152">
        <v>4589</v>
      </c>
      <c r="P33" s="170"/>
      <c r="Q33" s="263">
        <v>16</v>
      </c>
      <c r="R33" s="166">
        <v>1470</v>
      </c>
      <c r="S33" s="158">
        <v>3015</v>
      </c>
      <c r="T33" s="158">
        <v>4636</v>
      </c>
      <c r="U33" s="158">
        <v>6399</v>
      </c>
      <c r="V33" s="158">
        <v>8305</v>
      </c>
      <c r="W33" s="159">
        <v>10337</v>
      </c>
      <c r="X33" s="170"/>
      <c r="Y33" s="188"/>
      <c r="Z33" s="248"/>
      <c r="AA33" s="258"/>
      <c r="AB33" s="258"/>
      <c r="AC33" s="258"/>
      <c r="AD33" s="258"/>
      <c r="AE33" s="258"/>
      <c r="AF33" s="258"/>
      <c r="AG33" s="188"/>
      <c r="AH33" s="188"/>
      <c r="AI33" s="188"/>
    </row>
    <row r="34" spans="1:35" ht="16" customHeight="1" x14ac:dyDescent="0.3">
      <c r="A34" s="263">
        <v>17</v>
      </c>
      <c r="B34" s="163">
        <v>396</v>
      </c>
      <c r="C34" s="145">
        <v>808</v>
      </c>
      <c r="D34" s="145">
        <v>1236</v>
      </c>
      <c r="E34" s="145">
        <v>1703</v>
      </c>
      <c r="F34" s="145">
        <v>2201</v>
      </c>
      <c r="G34" s="172">
        <v>2732</v>
      </c>
      <c r="H34" s="170"/>
      <c r="I34" s="263">
        <v>17</v>
      </c>
      <c r="J34" s="150">
        <v>697</v>
      </c>
      <c r="K34" s="151">
        <v>1421</v>
      </c>
      <c r="L34" s="151">
        <v>2174</v>
      </c>
      <c r="M34" s="151">
        <v>2996</v>
      </c>
      <c r="N34" s="151">
        <v>3872</v>
      </c>
      <c r="O34" s="152">
        <v>4806</v>
      </c>
      <c r="P34" s="170"/>
      <c r="Q34" s="263">
        <v>17</v>
      </c>
      <c r="R34" s="166">
        <v>1569</v>
      </c>
      <c r="S34" s="158">
        <v>3201</v>
      </c>
      <c r="T34" s="158">
        <v>4897</v>
      </c>
      <c r="U34" s="158">
        <v>6748</v>
      </c>
      <c r="V34" s="158">
        <v>8721</v>
      </c>
      <c r="W34" s="159">
        <v>10825</v>
      </c>
      <c r="X34" s="170"/>
      <c r="Y34" s="188"/>
      <c r="Z34" s="386"/>
      <c r="AA34" s="390"/>
      <c r="AB34" s="254"/>
      <c r="AC34" s="254"/>
      <c r="AD34" s="254"/>
      <c r="AE34" s="188"/>
      <c r="AF34" s="391"/>
      <c r="AG34" s="392"/>
      <c r="AH34" s="392"/>
      <c r="AI34" s="188"/>
    </row>
    <row r="35" spans="1:35" ht="16" customHeight="1" x14ac:dyDescent="0.3">
      <c r="A35" s="263">
        <v>18</v>
      </c>
      <c r="B35" s="163">
        <v>419</v>
      </c>
      <c r="C35" s="145">
        <v>853</v>
      </c>
      <c r="D35" s="145">
        <v>1302</v>
      </c>
      <c r="E35" s="145">
        <v>1791</v>
      </c>
      <c r="F35" s="145">
        <v>2309</v>
      </c>
      <c r="G35" s="172">
        <v>2859</v>
      </c>
      <c r="H35" s="170"/>
      <c r="I35" s="263">
        <v>18</v>
      </c>
      <c r="J35" s="150">
        <v>737</v>
      </c>
      <c r="K35" s="151">
        <v>1500</v>
      </c>
      <c r="L35" s="151">
        <v>2290</v>
      </c>
      <c r="M35" s="151">
        <v>3150</v>
      </c>
      <c r="N35" s="151">
        <v>4062</v>
      </c>
      <c r="O35" s="152">
        <v>5029</v>
      </c>
      <c r="P35" s="170"/>
      <c r="Q35" s="263">
        <v>18</v>
      </c>
      <c r="R35" s="166">
        <v>1660</v>
      </c>
      <c r="S35" s="158">
        <v>3380</v>
      </c>
      <c r="T35" s="158">
        <v>5159</v>
      </c>
      <c r="U35" s="158">
        <v>7096</v>
      </c>
      <c r="V35" s="158">
        <v>9149</v>
      </c>
      <c r="W35" s="159">
        <v>11328</v>
      </c>
      <c r="X35" s="170"/>
      <c r="Y35" s="188"/>
      <c r="Z35" s="386"/>
      <c r="AA35" s="390"/>
      <c r="AB35" s="259"/>
      <c r="AC35" s="259"/>
      <c r="AD35" s="259"/>
      <c r="AE35" s="188"/>
      <c r="AF35" s="392"/>
      <c r="AG35" s="392"/>
      <c r="AH35" s="392"/>
      <c r="AI35" s="188"/>
    </row>
    <row r="36" spans="1:35" ht="16" customHeight="1" x14ac:dyDescent="0.3">
      <c r="A36" s="263">
        <v>19</v>
      </c>
      <c r="B36" s="163">
        <v>440</v>
      </c>
      <c r="C36" s="145">
        <v>898</v>
      </c>
      <c r="D36" s="145">
        <v>1370</v>
      </c>
      <c r="E36" s="145">
        <v>1879</v>
      </c>
      <c r="F36" s="145">
        <v>2416</v>
      </c>
      <c r="G36" s="172">
        <v>2989</v>
      </c>
      <c r="H36" s="170"/>
      <c r="I36" s="263">
        <v>19</v>
      </c>
      <c r="J36" s="150">
        <v>774</v>
      </c>
      <c r="K36" s="151">
        <v>1580</v>
      </c>
      <c r="L36" s="151">
        <v>2410</v>
      </c>
      <c r="M36" s="151">
        <v>3305</v>
      </c>
      <c r="N36" s="151">
        <v>4250</v>
      </c>
      <c r="O36" s="152">
        <v>5258</v>
      </c>
      <c r="P36" s="170"/>
      <c r="Q36" s="263">
        <v>19</v>
      </c>
      <c r="R36" s="166">
        <v>1743</v>
      </c>
      <c r="S36" s="158">
        <v>3558</v>
      </c>
      <c r="T36" s="158">
        <v>5428</v>
      </c>
      <c r="U36" s="158">
        <v>7445</v>
      </c>
      <c r="V36" s="158">
        <v>9573</v>
      </c>
      <c r="W36" s="159">
        <v>11843</v>
      </c>
      <c r="X36" s="170"/>
      <c r="Y36" s="188"/>
      <c r="Z36" s="390"/>
      <c r="AA36" s="390"/>
      <c r="AB36" s="260"/>
      <c r="AC36" s="260"/>
      <c r="AD36" s="260"/>
      <c r="AE36" s="188"/>
      <c r="AF36" s="392"/>
      <c r="AG36" s="392"/>
      <c r="AH36" s="392"/>
      <c r="AI36" s="188"/>
    </row>
    <row r="37" spans="1:35" ht="16" customHeight="1" thickBot="1" x14ac:dyDescent="0.35">
      <c r="A37" s="264">
        <v>20</v>
      </c>
      <c r="B37" s="164">
        <v>465</v>
      </c>
      <c r="C37" s="146">
        <v>944</v>
      </c>
      <c r="D37" s="146">
        <v>1438</v>
      </c>
      <c r="E37" s="146">
        <v>1967</v>
      </c>
      <c r="F37" s="146">
        <v>2523</v>
      </c>
      <c r="G37" s="173">
        <v>3117</v>
      </c>
      <c r="H37" s="170"/>
      <c r="I37" s="264">
        <v>20</v>
      </c>
      <c r="J37" s="153">
        <v>818</v>
      </c>
      <c r="K37" s="154">
        <v>1661</v>
      </c>
      <c r="L37" s="154">
        <v>2530</v>
      </c>
      <c r="M37" s="154">
        <v>3460</v>
      </c>
      <c r="N37" s="154">
        <v>4438</v>
      </c>
      <c r="O37" s="155">
        <v>5483</v>
      </c>
      <c r="P37" s="170"/>
      <c r="Q37" s="264">
        <v>20</v>
      </c>
      <c r="R37" s="167">
        <v>1842</v>
      </c>
      <c r="S37" s="160">
        <v>3740</v>
      </c>
      <c r="T37" s="160">
        <v>5698</v>
      </c>
      <c r="U37" s="160">
        <v>7794</v>
      </c>
      <c r="V37" s="160">
        <v>9997</v>
      </c>
      <c r="W37" s="161">
        <v>12350</v>
      </c>
      <c r="X37" s="170"/>
      <c r="Y37" s="227"/>
      <c r="Z37" s="227"/>
      <c r="AA37" s="227"/>
      <c r="AB37" s="227"/>
      <c r="AC37" s="227"/>
      <c r="AD37" s="227"/>
      <c r="AE37" s="227"/>
      <c r="AF37" s="227"/>
      <c r="AG37" s="227"/>
      <c r="AH37" s="227"/>
      <c r="AI37" s="227"/>
    </row>
    <row r="38" spans="1:35" ht="16" customHeight="1" x14ac:dyDescent="0.3">
      <c r="B38" s="187" t="s">
        <v>50</v>
      </c>
      <c r="H38" s="188"/>
      <c r="P38" s="188"/>
      <c r="R38" s="261" t="s">
        <v>83</v>
      </c>
      <c r="Y38" s="227"/>
      <c r="Z38" s="227"/>
      <c r="AA38" s="227"/>
      <c r="AB38" s="227"/>
      <c r="AC38" s="227"/>
      <c r="AD38" s="227"/>
      <c r="AE38" s="227"/>
      <c r="AF38" s="227"/>
      <c r="AG38" s="227"/>
      <c r="AH38" s="227"/>
      <c r="AI38" s="227"/>
    </row>
    <row r="39" spans="1:35" ht="16" customHeight="1" x14ac:dyDescent="0.3">
      <c r="H39" s="188"/>
      <c r="P39" s="188"/>
      <c r="Y39" s="227"/>
      <c r="Z39" s="227"/>
      <c r="AA39" s="227"/>
      <c r="AB39" s="227"/>
      <c r="AC39" s="227"/>
      <c r="AD39" s="227"/>
      <c r="AE39" s="227"/>
      <c r="AF39" s="227"/>
      <c r="AG39" s="227"/>
      <c r="AH39" s="227"/>
      <c r="AI39" s="227"/>
    </row>
    <row r="40" spans="1:35" ht="16" customHeight="1" x14ac:dyDescent="0.3">
      <c r="P40" s="188"/>
    </row>
    <row r="41" spans="1:35" ht="16" customHeight="1" x14ac:dyDescent="0.3">
      <c r="P41" s="188"/>
    </row>
    <row r="42" spans="1:35" ht="16" customHeight="1" x14ac:dyDescent="0.3"/>
    <row r="43" spans="1:35" ht="16" customHeight="1" x14ac:dyDescent="0.3"/>
    <row r="44" spans="1:35" ht="16" customHeight="1" x14ac:dyDescent="0.3"/>
    <row r="45" spans="1:35" ht="16" customHeight="1" x14ac:dyDescent="0.3"/>
    <row r="46" spans="1:35" ht="16" customHeight="1" x14ac:dyDescent="0.3"/>
    <row r="47" spans="1:35" ht="16" customHeight="1" x14ac:dyDescent="0.3"/>
    <row r="48" spans="1:35" ht="16" customHeight="1" x14ac:dyDescent="0.3"/>
    <row r="49" ht="16" customHeight="1" x14ac:dyDescent="0.3"/>
    <row r="50" ht="16" customHeight="1" x14ac:dyDescent="0.3"/>
    <row r="51" ht="16" customHeight="1" x14ac:dyDescent="0.3"/>
    <row r="52" ht="16" customHeight="1" x14ac:dyDescent="0.3"/>
    <row r="53" ht="16" customHeight="1" x14ac:dyDescent="0.3"/>
    <row r="54" ht="16" customHeight="1" x14ac:dyDescent="0.3"/>
    <row r="55" ht="16" customHeight="1" x14ac:dyDescent="0.3"/>
    <row r="56" ht="16" customHeight="1" x14ac:dyDescent="0.3"/>
    <row r="57" ht="16" customHeight="1" x14ac:dyDescent="0.3"/>
    <row r="58" ht="16" customHeight="1" x14ac:dyDescent="0.3"/>
    <row r="59" ht="16" customHeight="1" x14ac:dyDescent="0.3"/>
    <row r="60" ht="16" customHeight="1" x14ac:dyDescent="0.3"/>
    <row r="61" ht="16" customHeight="1" x14ac:dyDescent="0.3"/>
    <row r="62" ht="16" customHeight="1" x14ac:dyDescent="0.3"/>
    <row r="63" ht="16" customHeight="1" x14ac:dyDescent="0.3"/>
    <row r="64" ht="16" customHeight="1" x14ac:dyDescent="0.3"/>
    <row r="65" ht="16" customHeight="1" x14ac:dyDescent="0.3"/>
    <row r="66" ht="16" customHeight="1" x14ac:dyDescent="0.3"/>
    <row r="67" ht="16" customHeight="1" x14ac:dyDescent="0.3"/>
    <row r="68" ht="16" customHeight="1" x14ac:dyDescent="0.3"/>
    <row r="69" ht="16" customHeight="1" x14ac:dyDescent="0.3"/>
    <row r="70" ht="16" customHeight="1" x14ac:dyDescent="0.3"/>
  </sheetData>
  <mergeCells count="30">
    <mergeCell ref="A5:A6"/>
    <mergeCell ref="I5:I6"/>
    <mergeCell ref="Q5:Q6"/>
    <mergeCell ref="J5:O5"/>
    <mergeCell ref="R5:W5"/>
    <mergeCell ref="AB9:AD9"/>
    <mergeCell ref="Z9:Z10"/>
    <mergeCell ref="AA9:AA10"/>
    <mergeCell ref="AA7:AC7"/>
    <mergeCell ref="B5:G5"/>
    <mergeCell ref="AE27:AE28"/>
    <mergeCell ref="AF27:AF28"/>
    <mergeCell ref="Z29:AA30"/>
    <mergeCell ref="AB29:AB30"/>
    <mergeCell ref="AD27:AD28"/>
    <mergeCell ref="Z34:AA34"/>
    <mergeCell ref="AF34:AH36"/>
    <mergeCell ref="Z35:AA36"/>
    <mergeCell ref="Z20:AA20"/>
    <mergeCell ref="Z21:AA21"/>
    <mergeCell ref="Z22:AA22"/>
    <mergeCell ref="Z27:AA28"/>
    <mergeCell ref="AB27:AB28"/>
    <mergeCell ref="AC27:AC28"/>
    <mergeCell ref="B1:W2"/>
    <mergeCell ref="B4:D4"/>
    <mergeCell ref="F4:G4"/>
    <mergeCell ref="J4:L4"/>
    <mergeCell ref="N4:O4"/>
    <mergeCell ref="R4:T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75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3" sqref="B3"/>
    </sheetView>
  </sheetViews>
  <sheetFormatPr defaultColWidth="9.15234375" defaultRowHeight="12.45" x14ac:dyDescent="0.3"/>
  <cols>
    <col min="1" max="5" width="9.15234375" style="187"/>
    <col min="6" max="6" width="9.15234375" style="187" customWidth="1"/>
    <col min="7" max="7" width="9.15234375" style="187"/>
    <col min="8" max="9" width="9.15234375" style="187" hidden="1" customWidth="1"/>
    <col min="10" max="15" width="9.15234375" style="187"/>
    <col min="16" max="17" width="9.15234375" style="187" hidden="1" customWidth="1"/>
    <col min="18" max="23" width="9.15234375" style="187"/>
    <col min="24" max="24" width="0" style="188" hidden="1" customWidth="1"/>
    <col min="25" max="25" width="5.84375" style="188" customWidth="1"/>
    <col min="26" max="26" width="4" style="187" customWidth="1"/>
    <col min="27" max="35" width="9.15234375" style="187"/>
    <col min="36" max="36" width="9.15234375" style="187" customWidth="1"/>
    <col min="37" max="16384" width="9.15234375" style="187"/>
  </cols>
  <sheetData>
    <row r="1" spans="1:36" ht="16" customHeight="1" x14ac:dyDescent="0.3">
      <c r="B1" s="372" t="s">
        <v>147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191"/>
      <c r="Y1" s="191"/>
    </row>
    <row r="2" spans="1:36" ht="16" customHeight="1" x14ac:dyDescent="0.3">
      <c r="A2" s="141"/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191"/>
      <c r="Y2" s="191"/>
    </row>
    <row r="3" spans="1:36" ht="16" customHeight="1" thickBot="1" x14ac:dyDescent="0.35">
      <c r="H3" s="188"/>
      <c r="P3" s="188"/>
    </row>
    <row r="4" spans="1:36" ht="24" customHeight="1" thickBot="1" x14ac:dyDescent="0.35">
      <c r="B4" s="423" t="s">
        <v>136</v>
      </c>
      <c r="C4" s="424"/>
      <c r="D4" s="424"/>
      <c r="E4" s="351">
        <v>8.25</v>
      </c>
      <c r="F4" s="425" t="s">
        <v>130</v>
      </c>
      <c r="G4" s="426"/>
      <c r="H4" s="168"/>
      <c r="J4" s="419" t="s">
        <v>138</v>
      </c>
      <c r="K4" s="420"/>
      <c r="L4" s="420"/>
      <c r="M4" s="362">
        <v>4.6900000000000004</v>
      </c>
      <c r="N4" s="427" t="s">
        <v>139</v>
      </c>
      <c r="O4" s="428"/>
      <c r="P4" s="169"/>
      <c r="R4" s="421" t="s">
        <v>144</v>
      </c>
      <c r="S4" s="422"/>
      <c r="T4" s="422"/>
      <c r="U4" s="367">
        <v>3.21</v>
      </c>
      <c r="V4" s="368" t="s">
        <v>145</v>
      </c>
      <c r="W4" s="369"/>
    </row>
    <row r="5" spans="1:36" ht="16" customHeight="1" x14ac:dyDescent="0.3">
      <c r="A5" s="393" t="s">
        <v>49</v>
      </c>
      <c r="B5" s="410" t="s">
        <v>129</v>
      </c>
      <c r="C5" s="411"/>
      <c r="D5" s="411"/>
      <c r="E5" s="411"/>
      <c r="F5" s="411"/>
      <c r="G5" s="412"/>
      <c r="H5" s="168"/>
      <c r="I5" s="393" t="s">
        <v>49</v>
      </c>
      <c r="J5" s="395" t="s">
        <v>129</v>
      </c>
      <c r="K5" s="396"/>
      <c r="L5" s="396"/>
      <c r="M5" s="396"/>
      <c r="N5" s="396"/>
      <c r="O5" s="397"/>
      <c r="P5" s="169"/>
      <c r="Q5" s="393" t="s">
        <v>49</v>
      </c>
      <c r="R5" s="398" t="s">
        <v>129</v>
      </c>
      <c r="S5" s="399"/>
      <c r="T5" s="399"/>
      <c r="U5" s="399"/>
      <c r="V5" s="399"/>
      <c r="W5" s="400"/>
    </row>
    <row r="6" spans="1:36" ht="16" customHeight="1" thickBot="1" x14ac:dyDescent="0.35">
      <c r="A6" s="394"/>
      <c r="B6" s="176">
        <v>0.5</v>
      </c>
      <c r="C6" s="177">
        <v>1</v>
      </c>
      <c r="D6" s="177">
        <v>1.5</v>
      </c>
      <c r="E6" s="177">
        <v>2</v>
      </c>
      <c r="F6" s="177">
        <v>2.5</v>
      </c>
      <c r="G6" s="178">
        <v>3</v>
      </c>
      <c r="H6" s="169"/>
      <c r="I6" s="394"/>
      <c r="J6" s="182">
        <v>0.5</v>
      </c>
      <c r="K6" s="183">
        <v>1</v>
      </c>
      <c r="L6" s="183">
        <v>1.5</v>
      </c>
      <c r="M6" s="183">
        <v>2</v>
      </c>
      <c r="N6" s="183">
        <v>2.5</v>
      </c>
      <c r="O6" s="184">
        <v>3</v>
      </c>
      <c r="P6" s="169"/>
      <c r="Q6" s="394"/>
      <c r="R6" s="179">
        <v>0.5</v>
      </c>
      <c r="S6" s="180">
        <v>1</v>
      </c>
      <c r="T6" s="180">
        <v>1.5</v>
      </c>
      <c r="U6" s="180">
        <v>2</v>
      </c>
      <c r="V6" s="180">
        <v>2.5</v>
      </c>
      <c r="W6" s="181">
        <v>3</v>
      </c>
      <c r="X6" s="192"/>
      <c r="Y6" s="189"/>
    </row>
    <row r="7" spans="1:36" ht="16" customHeight="1" x14ac:dyDescent="0.3">
      <c r="A7" s="265">
        <v>0</v>
      </c>
      <c r="B7" s="162">
        <v>32</v>
      </c>
      <c r="C7" s="144">
        <v>127</v>
      </c>
      <c r="D7" s="144">
        <v>285</v>
      </c>
      <c r="E7" s="144">
        <v>506</v>
      </c>
      <c r="F7" s="144">
        <v>792</v>
      </c>
      <c r="G7" s="171">
        <v>1139</v>
      </c>
      <c r="H7" s="170"/>
      <c r="I7" s="265">
        <v>0</v>
      </c>
      <c r="J7" s="147">
        <v>56</v>
      </c>
      <c r="K7" s="148">
        <v>223</v>
      </c>
      <c r="L7" s="148">
        <v>501</v>
      </c>
      <c r="M7" s="148">
        <v>890</v>
      </c>
      <c r="N7" s="148">
        <v>1393</v>
      </c>
      <c r="O7" s="149">
        <v>2004</v>
      </c>
      <c r="P7" s="170"/>
      <c r="Q7" s="265">
        <v>0</v>
      </c>
      <c r="R7" s="165">
        <v>127</v>
      </c>
      <c r="S7" s="156">
        <v>503</v>
      </c>
      <c r="T7" s="156">
        <v>1129</v>
      </c>
      <c r="U7" s="156">
        <v>2005</v>
      </c>
      <c r="V7" s="156">
        <v>3138</v>
      </c>
      <c r="W7" s="157">
        <v>4513</v>
      </c>
      <c r="X7" s="170"/>
      <c r="Y7" s="170"/>
      <c r="AA7" s="51"/>
      <c r="AB7" s="408" t="s">
        <v>0</v>
      </c>
      <c r="AC7" s="409"/>
      <c r="AD7" s="409"/>
      <c r="AE7" s="1"/>
    </row>
    <row r="8" spans="1:36" ht="16" customHeight="1" thickBot="1" x14ac:dyDescent="0.35">
      <c r="A8" s="266">
        <v>1</v>
      </c>
      <c r="B8" s="163">
        <v>72</v>
      </c>
      <c r="C8" s="145">
        <v>182</v>
      </c>
      <c r="D8" s="145">
        <v>343</v>
      </c>
      <c r="E8" s="145">
        <v>571</v>
      </c>
      <c r="F8" s="145">
        <v>856</v>
      </c>
      <c r="G8" s="172">
        <v>1206</v>
      </c>
      <c r="H8" s="170"/>
      <c r="I8" s="266">
        <v>1</v>
      </c>
      <c r="J8" s="150">
        <v>127</v>
      </c>
      <c r="K8" s="151">
        <v>320</v>
      </c>
      <c r="L8" s="151">
        <v>603</v>
      </c>
      <c r="M8" s="151">
        <v>1004</v>
      </c>
      <c r="N8" s="151">
        <v>1506</v>
      </c>
      <c r="O8" s="152">
        <v>2121</v>
      </c>
      <c r="P8" s="170"/>
      <c r="Q8" s="266">
        <v>1</v>
      </c>
      <c r="R8" s="166">
        <v>285</v>
      </c>
      <c r="S8" s="158">
        <v>721</v>
      </c>
      <c r="T8" s="158">
        <v>1359</v>
      </c>
      <c r="U8" s="158">
        <v>2262</v>
      </c>
      <c r="V8" s="158">
        <v>3392</v>
      </c>
      <c r="W8" s="159">
        <v>4778</v>
      </c>
      <c r="X8" s="170"/>
      <c r="Y8" s="170"/>
      <c r="AA8" s="51"/>
      <c r="AB8" s="1"/>
      <c r="AC8" s="1"/>
      <c r="AD8" s="1"/>
      <c r="AE8" s="1"/>
    </row>
    <row r="9" spans="1:36" ht="16" customHeight="1" x14ac:dyDescent="0.3">
      <c r="A9" s="266">
        <v>2</v>
      </c>
      <c r="B9" s="163">
        <v>103</v>
      </c>
      <c r="C9" s="145">
        <v>227</v>
      </c>
      <c r="D9" s="145">
        <v>399</v>
      </c>
      <c r="E9" s="145">
        <v>636</v>
      </c>
      <c r="F9" s="145">
        <v>920</v>
      </c>
      <c r="G9" s="172">
        <v>1274</v>
      </c>
      <c r="H9" s="170"/>
      <c r="I9" s="266">
        <v>2</v>
      </c>
      <c r="J9" s="150">
        <v>181</v>
      </c>
      <c r="K9" s="151">
        <v>399</v>
      </c>
      <c r="L9" s="151">
        <v>702</v>
      </c>
      <c r="M9" s="151">
        <v>1119</v>
      </c>
      <c r="N9" s="151">
        <v>1618</v>
      </c>
      <c r="O9" s="152">
        <v>2241</v>
      </c>
      <c r="P9" s="170"/>
      <c r="Q9" s="266">
        <v>2</v>
      </c>
      <c r="R9" s="166">
        <v>408</v>
      </c>
      <c r="S9" s="158">
        <v>899</v>
      </c>
      <c r="T9" s="158">
        <v>1581</v>
      </c>
      <c r="U9" s="158">
        <v>2520</v>
      </c>
      <c r="V9" s="158">
        <v>3645</v>
      </c>
      <c r="W9" s="159">
        <v>5048</v>
      </c>
      <c r="X9" s="170"/>
      <c r="Y9" s="170"/>
      <c r="AA9" s="401" t="s">
        <v>46</v>
      </c>
      <c r="AB9" s="406" t="s">
        <v>51</v>
      </c>
      <c r="AC9" s="402" t="s">
        <v>1</v>
      </c>
      <c r="AD9" s="456"/>
      <c r="AE9" s="457"/>
    </row>
    <row r="10" spans="1:36" ht="16" customHeight="1" thickBot="1" x14ac:dyDescent="0.35">
      <c r="A10" s="266">
        <v>3</v>
      </c>
      <c r="B10" s="163">
        <v>128</v>
      </c>
      <c r="C10" s="145">
        <v>263</v>
      </c>
      <c r="D10" s="145">
        <v>448</v>
      </c>
      <c r="E10" s="145">
        <v>689</v>
      </c>
      <c r="F10" s="145">
        <v>977</v>
      </c>
      <c r="G10" s="172">
        <v>1331</v>
      </c>
      <c r="H10" s="170"/>
      <c r="I10" s="266">
        <v>3</v>
      </c>
      <c r="J10" s="150">
        <v>225</v>
      </c>
      <c r="K10" s="151">
        <v>463</v>
      </c>
      <c r="L10" s="151">
        <v>788</v>
      </c>
      <c r="M10" s="151">
        <v>1212</v>
      </c>
      <c r="N10" s="151">
        <v>1719</v>
      </c>
      <c r="O10" s="152">
        <v>2341</v>
      </c>
      <c r="P10" s="170"/>
      <c r="Q10" s="266">
        <v>3</v>
      </c>
      <c r="R10" s="166">
        <v>507</v>
      </c>
      <c r="S10" s="158">
        <v>1042</v>
      </c>
      <c r="T10" s="158">
        <v>1775</v>
      </c>
      <c r="U10" s="158">
        <v>2730</v>
      </c>
      <c r="V10" s="158">
        <v>3871</v>
      </c>
      <c r="W10" s="159">
        <v>5274</v>
      </c>
      <c r="X10" s="170"/>
      <c r="Y10" s="170"/>
      <c r="AA10" s="458"/>
      <c r="AB10" s="407"/>
      <c r="AC10" s="341" t="s">
        <v>52</v>
      </c>
      <c r="AD10" s="174" t="s">
        <v>34</v>
      </c>
      <c r="AE10" s="71" t="s">
        <v>53</v>
      </c>
    </row>
    <row r="11" spans="1:36" ht="16" customHeight="1" thickBot="1" x14ac:dyDescent="0.35">
      <c r="A11" s="266">
        <v>4</v>
      </c>
      <c r="B11" s="163">
        <v>150</v>
      </c>
      <c r="C11" s="145">
        <v>296</v>
      </c>
      <c r="D11" s="145">
        <v>492</v>
      </c>
      <c r="E11" s="145">
        <v>743</v>
      </c>
      <c r="F11" s="145">
        <v>1032</v>
      </c>
      <c r="G11" s="172">
        <v>1388</v>
      </c>
      <c r="H11" s="170"/>
      <c r="I11" s="266">
        <v>4</v>
      </c>
      <c r="J11" s="150">
        <v>264</v>
      </c>
      <c r="K11" s="151">
        <v>521</v>
      </c>
      <c r="L11" s="151">
        <v>865</v>
      </c>
      <c r="M11" s="151">
        <v>1307</v>
      </c>
      <c r="N11" s="151">
        <v>1815</v>
      </c>
      <c r="O11" s="152">
        <v>2442</v>
      </c>
      <c r="P11" s="170"/>
      <c r="Q11" s="266">
        <v>4</v>
      </c>
      <c r="R11" s="166">
        <v>594</v>
      </c>
      <c r="S11" s="158">
        <v>1173</v>
      </c>
      <c r="T11" s="158">
        <v>1949</v>
      </c>
      <c r="U11" s="158">
        <v>2944</v>
      </c>
      <c r="V11" s="158">
        <v>4089</v>
      </c>
      <c r="W11" s="159">
        <v>5500</v>
      </c>
      <c r="X11" s="170"/>
      <c r="Y11" s="170"/>
      <c r="AA11" s="67">
        <v>2</v>
      </c>
      <c r="AB11" s="342">
        <v>0.75</v>
      </c>
      <c r="AC11" s="185">
        <f>Interpolate2DTable(AA11,AB11,$A$6:$G$42)</f>
        <v>165</v>
      </c>
      <c r="AD11" s="186">
        <f>Interpolate2DTable(AA11,AB11,$I$6:$O$42)</f>
        <v>290</v>
      </c>
      <c r="AE11" s="241">
        <f>Interpolate2DTable(AA11,AB11,$Q$6:$W$42)</f>
        <v>653.5</v>
      </c>
    </row>
    <row r="12" spans="1:36" ht="16" customHeight="1" x14ac:dyDescent="0.3">
      <c r="A12" s="266">
        <v>5</v>
      </c>
      <c r="B12" s="163">
        <v>170</v>
      </c>
      <c r="C12" s="145">
        <v>326</v>
      </c>
      <c r="D12" s="145">
        <v>531</v>
      </c>
      <c r="E12" s="145">
        <v>787</v>
      </c>
      <c r="F12" s="145">
        <v>1083</v>
      </c>
      <c r="G12" s="172">
        <v>1442</v>
      </c>
      <c r="H12" s="170"/>
      <c r="I12" s="266">
        <v>5</v>
      </c>
      <c r="J12" s="150">
        <v>299</v>
      </c>
      <c r="K12" s="151">
        <v>573</v>
      </c>
      <c r="L12" s="151">
        <v>934</v>
      </c>
      <c r="M12" s="151">
        <v>1384</v>
      </c>
      <c r="N12" s="151">
        <v>1905</v>
      </c>
      <c r="O12" s="152">
        <v>2537</v>
      </c>
      <c r="P12" s="170"/>
      <c r="Q12" s="266">
        <v>5</v>
      </c>
      <c r="R12" s="166">
        <v>674</v>
      </c>
      <c r="S12" s="158">
        <v>1292</v>
      </c>
      <c r="T12" s="158">
        <v>2104</v>
      </c>
      <c r="U12" s="158">
        <v>3118</v>
      </c>
      <c r="V12" s="158">
        <v>4291</v>
      </c>
      <c r="W12" s="159">
        <v>5714</v>
      </c>
      <c r="X12" s="170"/>
      <c r="Y12" s="170"/>
    </row>
    <row r="13" spans="1:36" ht="16" customHeight="1" x14ac:dyDescent="0.3">
      <c r="A13" s="266">
        <v>6</v>
      </c>
      <c r="B13" s="163">
        <v>188</v>
      </c>
      <c r="C13" s="145">
        <v>354</v>
      </c>
      <c r="D13" s="145">
        <v>570</v>
      </c>
      <c r="E13" s="145">
        <v>832</v>
      </c>
      <c r="F13" s="145">
        <v>1134</v>
      </c>
      <c r="G13" s="172">
        <v>1495</v>
      </c>
      <c r="H13" s="170"/>
      <c r="I13" s="266">
        <v>6</v>
      </c>
      <c r="J13" s="150">
        <v>331</v>
      </c>
      <c r="K13" s="151">
        <v>623</v>
      </c>
      <c r="L13" s="151">
        <v>1003</v>
      </c>
      <c r="M13" s="151">
        <v>1464</v>
      </c>
      <c r="N13" s="151">
        <v>1995</v>
      </c>
      <c r="O13" s="152">
        <v>2630</v>
      </c>
      <c r="P13" s="170"/>
      <c r="Q13" s="266">
        <v>6</v>
      </c>
      <c r="R13" s="166">
        <v>745</v>
      </c>
      <c r="S13" s="158">
        <v>1403</v>
      </c>
      <c r="T13" s="158">
        <v>2258</v>
      </c>
      <c r="U13" s="158">
        <v>3297</v>
      </c>
      <c r="V13" s="158">
        <v>4493</v>
      </c>
      <c r="W13" s="159">
        <v>5924</v>
      </c>
      <c r="X13" s="170"/>
      <c r="Y13" s="170"/>
    </row>
    <row r="14" spans="1:36" ht="16" customHeight="1" x14ac:dyDescent="0.3">
      <c r="A14" s="266">
        <v>7</v>
      </c>
      <c r="B14" s="163">
        <v>204</v>
      </c>
      <c r="C14" s="145">
        <v>382</v>
      </c>
      <c r="D14" s="145">
        <v>603</v>
      </c>
      <c r="E14" s="145">
        <v>871</v>
      </c>
      <c r="F14" s="145">
        <v>1182</v>
      </c>
      <c r="G14" s="172">
        <v>1546</v>
      </c>
      <c r="H14" s="170"/>
      <c r="I14" s="266">
        <v>7</v>
      </c>
      <c r="J14" s="150">
        <v>359</v>
      </c>
      <c r="K14" s="151">
        <v>672</v>
      </c>
      <c r="L14" s="151">
        <v>1061</v>
      </c>
      <c r="M14" s="151">
        <v>1532</v>
      </c>
      <c r="N14" s="151">
        <v>2079</v>
      </c>
      <c r="O14" s="152">
        <v>2720</v>
      </c>
      <c r="P14" s="170"/>
      <c r="Q14" s="266">
        <v>7</v>
      </c>
      <c r="R14" s="166">
        <v>808</v>
      </c>
      <c r="S14" s="158">
        <v>1514</v>
      </c>
      <c r="T14" s="158">
        <v>2389</v>
      </c>
      <c r="U14" s="158">
        <v>3451</v>
      </c>
      <c r="V14" s="158">
        <v>4683</v>
      </c>
      <c r="W14" s="159">
        <v>6126</v>
      </c>
      <c r="X14" s="170"/>
      <c r="Y14" s="170"/>
      <c r="Z14" s="228"/>
      <c r="AA14" s="238" t="s">
        <v>60</v>
      </c>
      <c r="AB14" s="228"/>
      <c r="AC14" s="228"/>
      <c r="AD14" s="228"/>
      <c r="AE14" s="228"/>
      <c r="AF14" s="228"/>
      <c r="AG14" s="228"/>
      <c r="AH14" s="228"/>
      <c r="AI14" s="228"/>
      <c r="AJ14" s="228"/>
    </row>
    <row r="15" spans="1:36" ht="16" customHeight="1" x14ac:dyDescent="0.3">
      <c r="A15" s="266">
        <v>8</v>
      </c>
      <c r="B15" s="163">
        <v>219</v>
      </c>
      <c r="C15" s="145">
        <v>409</v>
      </c>
      <c r="D15" s="145">
        <v>637</v>
      </c>
      <c r="E15" s="145">
        <v>910</v>
      </c>
      <c r="F15" s="145">
        <v>1229</v>
      </c>
      <c r="G15" s="172">
        <v>1596</v>
      </c>
      <c r="H15" s="170"/>
      <c r="I15" s="266">
        <v>8</v>
      </c>
      <c r="J15" s="150">
        <v>385</v>
      </c>
      <c r="K15" s="151">
        <v>719</v>
      </c>
      <c r="L15" s="151">
        <v>1121</v>
      </c>
      <c r="M15" s="151">
        <v>1601</v>
      </c>
      <c r="N15" s="151">
        <v>2162</v>
      </c>
      <c r="O15" s="152">
        <v>2807</v>
      </c>
      <c r="P15" s="170"/>
      <c r="Q15" s="266">
        <v>8</v>
      </c>
      <c r="R15" s="166">
        <v>868</v>
      </c>
      <c r="S15" s="158">
        <v>1621</v>
      </c>
      <c r="T15" s="158">
        <v>2524</v>
      </c>
      <c r="U15" s="158">
        <v>3606</v>
      </c>
      <c r="V15" s="158">
        <v>4870</v>
      </c>
      <c r="W15" s="159">
        <v>6324</v>
      </c>
      <c r="X15" s="170"/>
      <c r="Y15" s="170"/>
      <c r="Z15" s="228"/>
      <c r="AA15" s="239" t="s">
        <v>67</v>
      </c>
      <c r="AB15" s="240" t="s">
        <v>68</v>
      </c>
      <c r="AC15" s="228"/>
      <c r="AD15" s="228"/>
      <c r="AE15" s="228"/>
      <c r="AF15" s="228"/>
      <c r="AG15" s="228"/>
      <c r="AH15" s="228"/>
      <c r="AI15" s="228"/>
      <c r="AJ15" s="228"/>
    </row>
    <row r="16" spans="1:36" ht="16" customHeight="1" x14ac:dyDescent="0.3">
      <c r="A16" s="266">
        <v>9</v>
      </c>
      <c r="B16" s="163">
        <v>235</v>
      </c>
      <c r="C16" s="145">
        <v>434</v>
      </c>
      <c r="D16" s="145">
        <v>667</v>
      </c>
      <c r="E16" s="145">
        <v>946</v>
      </c>
      <c r="F16" s="145">
        <v>1271</v>
      </c>
      <c r="G16" s="172">
        <v>1644</v>
      </c>
      <c r="H16" s="170"/>
      <c r="I16" s="266">
        <v>9</v>
      </c>
      <c r="J16" s="150">
        <v>413</v>
      </c>
      <c r="K16" s="151">
        <v>763</v>
      </c>
      <c r="L16" s="151">
        <v>1173</v>
      </c>
      <c r="M16" s="151">
        <v>1664</v>
      </c>
      <c r="N16" s="151">
        <v>2236</v>
      </c>
      <c r="O16" s="152">
        <v>2892</v>
      </c>
      <c r="P16" s="170"/>
      <c r="Q16" s="266">
        <v>9</v>
      </c>
      <c r="R16" s="166">
        <v>931</v>
      </c>
      <c r="S16" s="158">
        <v>1720</v>
      </c>
      <c r="T16" s="158">
        <v>2643</v>
      </c>
      <c r="U16" s="158">
        <v>3748</v>
      </c>
      <c r="V16" s="158">
        <v>5036</v>
      </c>
      <c r="W16" s="159">
        <v>6514</v>
      </c>
      <c r="X16" s="170"/>
      <c r="Y16" s="170"/>
      <c r="Z16" s="228"/>
      <c r="AA16" s="228"/>
      <c r="AB16" s="228"/>
      <c r="AC16" s="228"/>
      <c r="AD16" s="228"/>
      <c r="AE16" s="228"/>
      <c r="AF16" s="228"/>
      <c r="AG16" s="228"/>
      <c r="AH16" s="228"/>
      <c r="AI16" s="228"/>
      <c r="AJ16" s="228"/>
    </row>
    <row r="17" spans="1:36" ht="16" customHeight="1" x14ac:dyDescent="0.3">
      <c r="A17" s="266">
        <v>10</v>
      </c>
      <c r="B17" s="163">
        <v>250</v>
      </c>
      <c r="C17" s="145">
        <v>461</v>
      </c>
      <c r="D17" s="145">
        <v>697</v>
      </c>
      <c r="E17" s="145">
        <v>982</v>
      </c>
      <c r="F17" s="145">
        <v>1314</v>
      </c>
      <c r="G17" s="172">
        <v>1692</v>
      </c>
      <c r="H17" s="170"/>
      <c r="I17" s="266">
        <v>10</v>
      </c>
      <c r="J17" s="150">
        <v>440</v>
      </c>
      <c r="K17" s="151">
        <v>811</v>
      </c>
      <c r="L17" s="151">
        <v>1226</v>
      </c>
      <c r="M17" s="151">
        <v>1727</v>
      </c>
      <c r="N17" s="151">
        <v>2311</v>
      </c>
      <c r="O17" s="152">
        <v>2976</v>
      </c>
      <c r="P17" s="170"/>
      <c r="Q17" s="266">
        <v>10</v>
      </c>
      <c r="R17" s="166">
        <v>991</v>
      </c>
      <c r="S17" s="158">
        <v>1827</v>
      </c>
      <c r="T17" s="158">
        <v>2762</v>
      </c>
      <c r="U17" s="158">
        <v>3891</v>
      </c>
      <c r="V17" s="158">
        <v>5206</v>
      </c>
      <c r="W17" s="159">
        <v>6704</v>
      </c>
      <c r="X17" s="170"/>
      <c r="Y17" s="170"/>
      <c r="Z17" s="228"/>
      <c r="AA17" s="229" t="s">
        <v>63</v>
      </c>
      <c r="AB17" s="228"/>
      <c r="AC17" s="228"/>
      <c r="AD17" s="228"/>
      <c r="AE17" s="228"/>
      <c r="AF17" s="228"/>
      <c r="AG17" s="228"/>
      <c r="AH17" s="228"/>
      <c r="AI17" s="228"/>
      <c r="AJ17" s="228"/>
    </row>
    <row r="18" spans="1:36" ht="16" customHeight="1" thickBot="1" x14ac:dyDescent="0.4">
      <c r="A18" s="266">
        <v>11</v>
      </c>
      <c r="B18" s="163">
        <v>264</v>
      </c>
      <c r="C18" s="145">
        <v>485</v>
      </c>
      <c r="D18" s="145">
        <v>726</v>
      </c>
      <c r="E18" s="145">
        <v>1018</v>
      </c>
      <c r="F18" s="145">
        <v>1355</v>
      </c>
      <c r="G18" s="172">
        <v>1736</v>
      </c>
      <c r="H18" s="170"/>
      <c r="I18" s="266">
        <v>11</v>
      </c>
      <c r="J18" s="150">
        <v>464</v>
      </c>
      <c r="K18" s="151">
        <v>853</v>
      </c>
      <c r="L18" s="151">
        <v>1277</v>
      </c>
      <c r="M18" s="151">
        <v>1791</v>
      </c>
      <c r="N18" s="151">
        <v>2384</v>
      </c>
      <c r="O18" s="152">
        <v>3054</v>
      </c>
      <c r="P18" s="170"/>
      <c r="Q18" s="266">
        <v>11</v>
      </c>
      <c r="R18" s="166">
        <v>1046</v>
      </c>
      <c r="S18" s="158">
        <v>1922</v>
      </c>
      <c r="T18" s="158">
        <v>2877</v>
      </c>
      <c r="U18" s="158">
        <v>4034</v>
      </c>
      <c r="V18" s="158">
        <v>5369</v>
      </c>
      <c r="W18" s="159">
        <v>6878</v>
      </c>
      <c r="X18" s="170"/>
      <c r="Y18" s="170"/>
      <c r="Z18" s="228"/>
      <c r="AA18" s="230" t="s">
        <v>72</v>
      </c>
      <c r="AB18" s="228"/>
      <c r="AC18" s="228"/>
      <c r="AD18" s="228"/>
      <c r="AE18" s="228"/>
      <c r="AF18" s="228"/>
      <c r="AG18" s="228"/>
      <c r="AH18" s="228"/>
      <c r="AI18" s="228"/>
      <c r="AJ18" s="228"/>
    </row>
    <row r="19" spans="1:36" ht="16" customHeight="1" thickBot="1" x14ac:dyDescent="0.35">
      <c r="A19" s="266">
        <v>12</v>
      </c>
      <c r="B19" s="163">
        <v>278</v>
      </c>
      <c r="C19" s="145">
        <v>511</v>
      </c>
      <c r="D19" s="145">
        <v>755</v>
      </c>
      <c r="E19" s="145">
        <v>1053</v>
      </c>
      <c r="F19" s="145">
        <v>1396</v>
      </c>
      <c r="G19" s="172">
        <v>1780</v>
      </c>
      <c r="H19" s="170"/>
      <c r="I19" s="266">
        <v>12</v>
      </c>
      <c r="J19" s="150">
        <v>489</v>
      </c>
      <c r="K19" s="151">
        <v>899</v>
      </c>
      <c r="L19" s="151">
        <v>1328</v>
      </c>
      <c r="M19" s="151">
        <v>1852</v>
      </c>
      <c r="N19" s="151">
        <v>2456</v>
      </c>
      <c r="O19" s="152">
        <v>3131</v>
      </c>
      <c r="P19" s="170"/>
      <c r="Q19" s="266">
        <v>12</v>
      </c>
      <c r="R19" s="166">
        <v>1101</v>
      </c>
      <c r="S19" s="158">
        <v>2025</v>
      </c>
      <c r="T19" s="158">
        <v>2991</v>
      </c>
      <c r="U19" s="158">
        <v>4172</v>
      </c>
      <c r="V19" s="158">
        <v>5531</v>
      </c>
      <c r="W19" s="159">
        <v>7053</v>
      </c>
      <c r="X19" s="170"/>
      <c r="Y19" s="170"/>
      <c r="Z19" s="228"/>
      <c r="AA19" s="228"/>
      <c r="AB19" s="212" t="s">
        <v>54</v>
      </c>
      <c r="AC19" s="211" t="s">
        <v>58</v>
      </c>
      <c r="AD19" s="194" t="s">
        <v>59</v>
      </c>
      <c r="AE19" s="195">
        <v>6</v>
      </c>
      <c r="AF19" s="195">
        <v>7.5</v>
      </c>
      <c r="AG19" s="196">
        <v>10</v>
      </c>
      <c r="AH19" s="228"/>
      <c r="AI19" s="228"/>
      <c r="AJ19" s="228"/>
    </row>
    <row r="20" spans="1:36" ht="16" customHeight="1" x14ac:dyDescent="0.3">
      <c r="A20" s="266">
        <v>13</v>
      </c>
      <c r="B20" s="163">
        <v>292</v>
      </c>
      <c r="C20" s="145">
        <v>534</v>
      </c>
      <c r="D20" s="145">
        <v>784</v>
      </c>
      <c r="E20" s="145">
        <v>1087</v>
      </c>
      <c r="F20" s="145">
        <v>1435</v>
      </c>
      <c r="G20" s="172">
        <v>1823</v>
      </c>
      <c r="H20" s="170"/>
      <c r="I20" s="266">
        <v>13</v>
      </c>
      <c r="J20" s="150">
        <v>514</v>
      </c>
      <c r="K20" s="151">
        <v>939</v>
      </c>
      <c r="L20" s="151">
        <v>1379</v>
      </c>
      <c r="M20" s="151">
        <v>1912</v>
      </c>
      <c r="N20" s="151">
        <v>2524</v>
      </c>
      <c r="O20" s="152">
        <v>3207</v>
      </c>
      <c r="P20" s="170"/>
      <c r="Q20" s="266">
        <v>13</v>
      </c>
      <c r="R20" s="166">
        <v>1157</v>
      </c>
      <c r="S20" s="158">
        <v>2116</v>
      </c>
      <c r="T20" s="158">
        <v>3106</v>
      </c>
      <c r="U20" s="158">
        <v>4307</v>
      </c>
      <c r="V20" s="158">
        <v>5686</v>
      </c>
      <c r="W20" s="159">
        <v>7223</v>
      </c>
      <c r="X20" s="170"/>
      <c r="Y20" s="170"/>
      <c r="Z20" s="228"/>
      <c r="AA20" s="413" t="s">
        <v>55</v>
      </c>
      <c r="AB20" s="414"/>
      <c r="AC20" s="197">
        <v>1</v>
      </c>
      <c r="AD20" s="198">
        <v>0.95</v>
      </c>
      <c r="AE20" s="198">
        <v>0.8</v>
      </c>
      <c r="AF20" s="198">
        <v>0.75</v>
      </c>
      <c r="AG20" s="199">
        <v>0.7</v>
      </c>
      <c r="AH20" s="228"/>
      <c r="AI20" s="228"/>
      <c r="AJ20" s="228"/>
    </row>
    <row r="21" spans="1:36" ht="16" customHeight="1" x14ac:dyDescent="0.3">
      <c r="A21" s="266">
        <v>14</v>
      </c>
      <c r="B21" s="163">
        <v>306</v>
      </c>
      <c r="C21" s="145">
        <v>557</v>
      </c>
      <c r="D21" s="145">
        <v>813</v>
      </c>
      <c r="E21" s="145">
        <v>1120</v>
      </c>
      <c r="F21" s="145">
        <v>1475</v>
      </c>
      <c r="G21" s="172">
        <v>1865</v>
      </c>
      <c r="H21" s="170"/>
      <c r="I21" s="266">
        <v>14</v>
      </c>
      <c r="J21" s="150">
        <v>538</v>
      </c>
      <c r="K21" s="151">
        <v>980</v>
      </c>
      <c r="L21" s="151">
        <v>1430</v>
      </c>
      <c r="M21" s="151">
        <v>1970</v>
      </c>
      <c r="N21" s="151">
        <v>2595</v>
      </c>
      <c r="O21" s="152">
        <v>3281</v>
      </c>
      <c r="P21" s="170"/>
      <c r="Q21" s="266">
        <v>14</v>
      </c>
      <c r="R21" s="166">
        <v>1212</v>
      </c>
      <c r="S21" s="158">
        <v>2207</v>
      </c>
      <c r="T21" s="158">
        <v>3221</v>
      </c>
      <c r="U21" s="158">
        <v>4438</v>
      </c>
      <c r="V21" s="158">
        <v>5844</v>
      </c>
      <c r="W21" s="159">
        <v>7390</v>
      </c>
      <c r="X21" s="170"/>
      <c r="Y21" s="170"/>
      <c r="Z21" s="228"/>
      <c r="AA21" s="415" t="s">
        <v>56</v>
      </c>
      <c r="AB21" s="416"/>
      <c r="AC21" s="200">
        <v>0</v>
      </c>
      <c r="AD21" s="201">
        <v>0</v>
      </c>
      <c r="AE21" s="201">
        <v>0.17</v>
      </c>
      <c r="AF21" s="201">
        <v>0.22</v>
      </c>
      <c r="AG21" s="202">
        <v>0.27</v>
      </c>
      <c r="AH21" s="228"/>
      <c r="AI21" s="228"/>
      <c r="AJ21" s="228"/>
    </row>
    <row r="22" spans="1:36" ht="16" customHeight="1" thickBot="1" x14ac:dyDescent="0.35">
      <c r="A22" s="266">
        <v>15</v>
      </c>
      <c r="B22" s="163">
        <v>321</v>
      </c>
      <c r="C22" s="145">
        <v>581</v>
      </c>
      <c r="D22" s="145">
        <v>839</v>
      </c>
      <c r="E22" s="145">
        <v>1152</v>
      </c>
      <c r="F22" s="145">
        <v>1514</v>
      </c>
      <c r="G22" s="172">
        <v>1907</v>
      </c>
      <c r="H22" s="170"/>
      <c r="I22" s="266">
        <v>15</v>
      </c>
      <c r="J22" s="150">
        <v>565</v>
      </c>
      <c r="K22" s="151">
        <v>1022</v>
      </c>
      <c r="L22" s="151">
        <v>1476</v>
      </c>
      <c r="M22" s="151">
        <v>2026</v>
      </c>
      <c r="N22" s="151">
        <v>2663</v>
      </c>
      <c r="O22" s="152">
        <v>3355</v>
      </c>
      <c r="P22" s="170"/>
      <c r="Q22" s="266">
        <v>15</v>
      </c>
      <c r="R22" s="166">
        <v>1272</v>
      </c>
      <c r="S22" s="158">
        <v>2302</v>
      </c>
      <c r="T22" s="158">
        <v>3324</v>
      </c>
      <c r="U22" s="158">
        <v>4564</v>
      </c>
      <c r="V22" s="158">
        <v>5999</v>
      </c>
      <c r="W22" s="159">
        <v>7556</v>
      </c>
      <c r="X22" s="170"/>
      <c r="Y22" s="170"/>
      <c r="Z22" s="228"/>
      <c r="AA22" s="417" t="s">
        <v>57</v>
      </c>
      <c r="AB22" s="418"/>
      <c r="AC22" s="203">
        <v>0</v>
      </c>
      <c r="AD22" s="204">
        <v>0.05</v>
      </c>
      <c r="AE22" s="204">
        <v>0.03</v>
      </c>
      <c r="AF22" s="204">
        <v>0.03</v>
      </c>
      <c r="AG22" s="205">
        <v>0.03</v>
      </c>
      <c r="AH22" s="228"/>
      <c r="AI22" s="228"/>
      <c r="AJ22" s="228"/>
    </row>
    <row r="23" spans="1:36" ht="16" customHeight="1" x14ac:dyDescent="0.3">
      <c r="A23" s="266">
        <v>16</v>
      </c>
      <c r="B23" s="163">
        <v>335</v>
      </c>
      <c r="C23" s="145">
        <v>602</v>
      </c>
      <c r="D23" s="145">
        <v>866</v>
      </c>
      <c r="E23" s="145">
        <v>1184</v>
      </c>
      <c r="F23" s="145">
        <v>1553</v>
      </c>
      <c r="G23" s="172">
        <v>1947</v>
      </c>
      <c r="H23" s="170"/>
      <c r="I23" s="266">
        <v>16</v>
      </c>
      <c r="J23" s="150">
        <v>589</v>
      </c>
      <c r="K23" s="151">
        <v>1059</v>
      </c>
      <c r="L23" s="151">
        <v>1523</v>
      </c>
      <c r="M23" s="151">
        <v>2083</v>
      </c>
      <c r="N23" s="151">
        <v>2732</v>
      </c>
      <c r="O23" s="152">
        <v>3425</v>
      </c>
      <c r="P23" s="170"/>
      <c r="Q23" s="266">
        <v>16</v>
      </c>
      <c r="R23" s="166">
        <v>1327</v>
      </c>
      <c r="S23" s="158">
        <v>2385</v>
      </c>
      <c r="T23" s="158">
        <v>3431</v>
      </c>
      <c r="U23" s="158">
        <v>4691</v>
      </c>
      <c r="V23" s="158">
        <v>6153</v>
      </c>
      <c r="W23" s="159">
        <v>7714</v>
      </c>
      <c r="X23" s="170"/>
      <c r="Y23" s="170"/>
      <c r="Z23" s="228"/>
      <c r="AA23" s="228"/>
      <c r="AB23" s="228"/>
      <c r="AC23" s="228"/>
      <c r="AD23" s="228"/>
      <c r="AE23" s="228"/>
      <c r="AF23" s="228"/>
      <c r="AG23" s="228"/>
      <c r="AH23" s="228"/>
      <c r="AI23" s="228"/>
      <c r="AJ23" s="228"/>
    </row>
    <row r="24" spans="1:36" ht="16" customHeight="1" x14ac:dyDescent="0.3">
      <c r="A24" s="266">
        <v>17</v>
      </c>
      <c r="B24" s="163">
        <v>349</v>
      </c>
      <c r="C24" s="145">
        <v>622</v>
      </c>
      <c r="D24" s="145">
        <v>892</v>
      </c>
      <c r="E24" s="145">
        <v>1215</v>
      </c>
      <c r="F24" s="145">
        <v>1588</v>
      </c>
      <c r="G24" s="172">
        <v>1987</v>
      </c>
      <c r="H24" s="170"/>
      <c r="I24" s="266">
        <v>17</v>
      </c>
      <c r="J24" s="150">
        <v>614</v>
      </c>
      <c r="K24" s="151">
        <v>1094</v>
      </c>
      <c r="L24" s="151">
        <v>1569</v>
      </c>
      <c r="M24" s="151">
        <v>2137</v>
      </c>
      <c r="N24" s="151">
        <v>2793</v>
      </c>
      <c r="O24" s="152">
        <v>3495</v>
      </c>
      <c r="P24" s="170"/>
      <c r="Q24" s="266">
        <v>17</v>
      </c>
      <c r="R24" s="166">
        <v>1383</v>
      </c>
      <c r="S24" s="158">
        <v>2465</v>
      </c>
      <c r="T24" s="158">
        <v>3534</v>
      </c>
      <c r="U24" s="158">
        <v>4814</v>
      </c>
      <c r="V24" s="158">
        <v>6292</v>
      </c>
      <c r="W24" s="159">
        <v>7873</v>
      </c>
      <c r="X24" s="170"/>
      <c r="Y24" s="170"/>
      <c r="Z24" s="228"/>
      <c r="AA24" s="229" t="s">
        <v>76</v>
      </c>
      <c r="AB24" s="228"/>
      <c r="AC24" s="228"/>
      <c r="AD24" s="228"/>
      <c r="AE24" s="228"/>
      <c r="AF24" s="228"/>
      <c r="AG24" s="228"/>
      <c r="AH24" s="228"/>
      <c r="AI24" s="228"/>
      <c r="AJ24" s="228"/>
    </row>
    <row r="25" spans="1:36" ht="16" customHeight="1" thickBot="1" x14ac:dyDescent="0.35">
      <c r="A25" s="266">
        <v>18</v>
      </c>
      <c r="B25" s="163">
        <v>364</v>
      </c>
      <c r="C25" s="145">
        <v>644</v>
      </c>
      <c r="D25" s="145">
        <v>918</v>
      </c>
      <c r="E25" s="145">
        <v>1245</v>
      </c>
      <c r="F25" s="145">
        <v>1622</v>
      </c>
      <c r="G25" s="172">
        <v>2027</v>
      </c>
      <c r="H25" s="170"/>
      <c r="I25" s="266">
        <v>18</v>
      </c>
      <c r="J25" s="150">
        <v>640</v>
      </c>
      <c r="K25" s="151">
        <v>1133</v>
      </c>
      <c r="L25" s="151">
        <v>1615</v>
      </c>
      <c r="M25" s="151">
        <v>2190</v>
      </c>
      <c r="N25" s="151">
        <v>2853</v>
      </c>
      <c r="O25" s="152">
        <v>3566</v>
      </c>
      <c r="P25" s="170"/>
      <c r="Q25" s="266">
        <v>18</v>
      </c>
      <c r="R25" s="166">
        <v>1442</v>
      </c>
      <c r="S25" s="158">
        <v>2552</v>
      </c>
      <c r="T25" s="158">
        <v>3637</v>
      </c>
      <c r="U25" s="158">
        <v>4933</v>
      </c>
      <c r="V25" s="158">
        <v>6427</v>
      </c>
      <c r="W25" s="159">
        <v>8031</v>
      </c>
      <c r="X25" s="170"/>
      <c r="Y25" s="170"/>
      <c r="Z25" s="228"/>
      <c r="AA25" s="236" t="s">
        <v>69</v>
      </c>
      <c r="AB25" s="228"/>
      <c r="AC25" s="228"/>
      <c r="AD25" s="228"/>
      <c r="AE25" s="228"/>
      <c r="AF25" s="228"/>
      <c r="AG25" s="228"/>
      <c r="AH25" s="228"/>
      <c r="AI25" s="228"/>
      <c r="AJ25" s="228"/>
    </row>
    <row r="26" spans="1:36" ht="16" customHeight="1" thickBot="1" x14ac:dyDescent="0.35">
      <c r="A26" s="266">
        <v>19</v>
      </c>
      <c r="B26" s="163">
        <v>378</v>
      </c>
      <c r="C26" s="145">
        <v>663</v>
      </c>
      <c r="D26" s="145">
        <v>943</v>
      </c>
      <c r="E26" s="145">
        <v>1275</v>
      </c>
      <c r="F26" s="145">
        <v>1657</v>
      </c>
      <c r="G26" s="172">
        <v>2066</v>
      </c>
      <c r="H26" s="170"/>
      <c r="I26" s="266">
        <v>19</v>
      </c>
      <c r="J26" s="150">
        <v>665</v>
      </c>
      <c r="K26" s="151">
        <v>1166</v>
      </c>
      <c r="L26" s="151">
        <v>1659</v>
      </c>
      <c r="M26" s="151">
        <v>2243</v>
      </c>
      <c r="N26" s="151">
        <v>2915</v>
      </c>
      <c r="O26" s="152">
        <v>3634</v>
      </c>
      <c r="P26" s="170"/>
      <c r="Q26" s="266">
        <v>19</v>
      </c>
      <c r="R26" s="166">
        <v>1498</v>
      </c>
      <c r="S26" s="158">
        <v>2627</v>
      </c>
      <c r="T26" s="158">
        <v>3736</v>
      </c>
      <c r="U26" s="158">
        <v>5052</v>
      </c>
      <c r="V26" s="158">
        <v>6565</v>
      </c>
      <c r="W26" s="159">
        <v>8186</v>
      </c>
      <c r="X26" s="170"/>
      <c r="Y26" s="170"/>
      <c r="Z26" s="228"/>
      <c r="AA26" s="237"/>
      <c r="AB26" s="210" t="s">
        <v>61</v>
      </c>
      <c r="AC26" s="209">
        <v>2</v>
      </c>
      <c r="AD26" s="207">
        <v>4</v>
      </c>
      <c r="AE26" s="207">
        <v>6</v>
      </c>
      <c r="AF26" s="207">
        <v>8</v>
      </c>
      <c r="AG26" s="208">
        <v>10</v>
      </c>
      <c r="AH26" s="228"/>
      <c r="AI26" s="228"/>
      <c r="AJ26" s="228"/>
    </row>
    <row r="27" spans="1:36" ht="16" customHeight="1" x14ac:dyDescent="0.3">
      <c r="A27" s="266">
        <v>20</v>
      </c>
      <c r="B27" s="163">
        <v>392</v>
      </c>
      <c r="C27" s="145">
        <v>682</v>
      </c>
      <c r="D27" s="145">
        <v>968</v>
      </c>
      <c r="E27" s="145">
        <v>1303</v>
      </c>
      <c r="F27" s="145">
        <v>1690</v>
      </c>
      <c r="G27" s="172">
        <v>2106</v>
      </c>
      <c r="H27" s="170"/>
      <c r="I27" s="266">
        <v>20</v>
      </c>
      <c r="J27" s="150">
        <v>690</v>
      </c>
      <c r="K27" s="151">
        <v>1200</v>
      </c>
      <c r="L27" s="151">
        <v>1703</v>
      </c>
      <c r="M27" s="151">
        <v>2292</v>
      </c>
      <c r="N27" s="151">
        <v>2973</v>
      </c>
      <c r="O27" s="152">
        <v>3705</v>
      </c>
      <c r="P27" s="170"/>
      <c r="Q27" s="266">
        <v>20</v>
      </c>
      <c r="R27" s="166">
        <v>1553</v>
      </c>
      <c r="S27" s="158">
        <v>2702</v>
      </c>
      <c r="T27" s="158">
        <v>3835</v>
      </c>
      <c r="U27" s="158">
        <v>5163</v>
      </c>
      <c r="V27" s="158">
        <v>6696</v>
      </c>
      <c r="W27" s="159">
        <v>8344</v>
      </c>
      <c r="X27" s="170"/>
      <c r="Y27" s="170"/>
      <c r="Z27" s="228"/>
      <c r="AA27" s="439" t="s">
        <v>70</v>
      </c>
      <c r="AB27" s="440"/>
      <c r="AC27" s="433">
        <v>0</v>
      </c>
      <c r="AD27" s="435">
        <v>1</v>
      </c>
      <c r="AE27" s="435">
        <v>2</v>
      </c>
      <c r="AF27" s="435">
        <v>3</v>
      </c>
      <c r="AG27" s="437">
        <v>4</v>
      </c>
      <c r="AH27" s="228" t="s">
        <v>66</v>
      </c>
      <c r="AI27" s="228"/>
      <c r="AJ27" s="228"/>
    </row>
    <row r="28" spans="1:36" ht="16" customHeight="1" x14ac:dyDescent="0.3">
      <c r="A28" s="266">
        <v>22</v>
      </c>
      <c r="B28" s="163">
        <v>418</v>
      </c>
      <c r="C28" s="145">
        <v>717</v>
      </c>
      <c r="D28" s="145">
        <v>1021</v>
      </c>
      <c r="E28" s="145">
        <v>1362</v>
      </c>
      <c r="F28" s="145">
        <v>1755</v>
      </c>
      <c r="G28" s="172">
        <v>2180</v>
      </c>
      <c r="H28" s="170"/>
      <c r="I28" s="266">
        <v>22</v>
      </c>
      <c r="J28" s="150">
        <v>735</v>
      </c>
      <c r="K28" s="151">
        <v>1261</v>
      </c>
      <c r="L28" s="151">
        <v>1796</v>
      </c>
      <c r="M28" s="151">
        <v>2396</v>
      </c>
      <c r="N28" s="151">
        <v>3087</v>
      </c>
      <c r="O28" s="152">
        <v>3835</v>
      </c>
      <c r="P28" s="170"/>
      <c r="Q28" s="266">
        <v>22</v>
      </c>
      <c r="R28" s="166">
        <v>1656</v>
      </c>
      <c r="S28" s="158">
        <v>2841</v>
      </c>
      <c r="T28" s="158">
        <v>4045</v>
      </c>
      <c r="U28" s="158">
        <v>5397</v>
      </c>
      <c r="V28" s="158">
        <v>6954</v>
      </c>
      <c r="W28" s="159">
        <v>8638</v>
      </c>
      <c r="X28" s="170"/>
      <c r="Y28" s="170"/>
      <c r="Z28" s="228"/>
      <c r="AA28" s="441"/>
      <c r="AB28" s="442"/>
      <c r="AC28" s="434"/>
      <c r="AD28" s="436"/>
      <c r="AE28" s="436"/>
      <c r="AF28" s="436"/>
      <c r="AG28" s="438"/>
      <c r="AH28" s="228"/>
      <c r="AI28" s="228"/>
      <c r="AJ28" s="228"/>
    </row>
    <row r="29" spans="1:36" ht="16" customHeight="1" x14ac:dyDescent="0.3">
      <c r="A29" s="266">
        <v>24</v>
      </c>
      <c r="B29" s="163">
        <v>444</v>
      </c>
      <c r="C29" s="145">
        <v>752</v>
      </c>
      <c r="D29" s="145">
        <v>1072</v>
      </c>
      <c r="E29" s="145">
        <v>1420</v>
      </c>
      <c r="F29" s="145">
        <v>1821</v>
      </c>
      <c r="G29" s="172">
        <v>2252</v>
      </c>
      <c r="H29" s="170"/>
      <c r="I29" s="266">
        <v>24</v>
      </c>
      <c r="J29" s="150">
        <v>781</v>
      </c>
      <c r="K29" s="151">
        <v>1323</v>
      </c>
      <c r="L29" s="151">
        <v>1886</v>
      </c>
      <c r="M29" s="151">
        <v>2498</v>
      </c>
      <c r="N29" s="151">
        <v>3203</v>
      </c>
      <c r="O29" s="152">
        <v>3961</v>
      </c>
      <c r="P29" s="170"/>
      <c r="Q29" s="266">
        <v>24</v>
      </c>
      <c r="R29" s="166">
        <v>1759</v>
      </c>
      <c r="S29" s="158">
        <v>2980</v>
      </c>
      <c r="T29" s="158">
        <v>4248</v>
      </c>
      <c r="U29" s="158">
        <v>5626</v>
      </c>
      <c r="V29" s="158">
        <v>7215</v>
      </c>
      <c r="W29" s="159">
        <v>8923</v>
      </c>
      <c r="X29" s="170"/>
      <c r="Y29" s="170"/>
      <c r="Z29" s="228"/>
      <c r="AA29" s="429" t="s">
        <v>64</v>
      </c>
      <c r="AB29" s="430"/>
      <c r="AC29" s="459" t="s">
        <v>62</v>
      </c>
      <c r="AD29" s="215" t="s">
        <v>65</v>
      </c>
      <c r="AE29" s="215" t="s">
        <v>106</v>
      </c>
      <c r="AF29" s="215" t="s">
        <v>105</v>
      </c>
      <c r="AG29" s="216" t="s">
        <v>105</v>
      </c>
      <c r="AH29" s="228"/>
      <c r="AI29" s="228"/>
      <c r="AJ29" s="228"/>
    </row>
    <row r="30" spans="1:36" ht="16" customHeight="1" thickBot="1" x14ac:dyDescent="0.35">
      <c r="A30" s="266">
        <v>26</v>
      </c>
      <c r="B30" s="163">
        <v>470</v>
      </c>
      <c r="C30" s="145">
        <v>784</v>
      </c>
      <c r="D30" s="145">
        <v>1124</v>
      </c>
      <c r="E30" s="145">
        <v>1477</v>
      </c>
      <c r="F30" s="145">
        <v>1881</v>
      </c>
      <c r="G30" s="172">
        <v>2328</v>
      </c>
      <c r="H30" s="170"/>
      <c r="I30" s="266">
        <v>26</v>
      </c>
      <c r="J30" s="150">
        <v>827</v>
      </c>
      <c r="K30" s="151">
        <v>1379</v>
      </c>
      <c r="L30" s="151">
        <v>1977</v>
      </c>
      <c r="M30" s="151">
        <v>2598</v>
      </c>
      <c r="N30" s="151">
        <v>3309</v>
      </c>
      <c r="O30" s="152">
        <v>4095</v>
      </c>
      <c r="P30" s="170"/>
      <c r="Q30" s="266">
        <v>26</v>
      </c>
      <c r="R30" s="166">
        <v>1862</v>
      </c>
      <c r="S30" s="158">
        <v>3106</v>
      </c>
      <c r="T30" s="158">
        <v>4454</v>
      </c>
      <c r="U30" s="158">
        <v>5852</v>
      </c>
      <c r="V30" s="158">
        <v>7453</v>
      </c>
      <c r="W30" s="159">
        <v>9224</v>
      </c>
      <c r="X30" s="170"/>
      <c r="Y30" s="170"/>
      <c r="Z30" s="228"/>
      <c r="AA30" s="431"/>
      <c r="AB30" s="432"/>
      <c r="AC30" s="460"/>
      <c r="AD30" s="213">
        <v>2</v>
      </c>
      <c r="AE30" s="213">
        <v>3</v>
      </c>
      <c r="AF30" s="213">
        <v>3</v>
      </c>
      <c r="AG30" s="214">
        <v>3</v>
      </c>
      <c r="AH30" s="228"/>
      <c r="AI30" s="228"/>
      <c r="AJ30" s="228"/>
    </row>
    <row r="31" spans="1:36" ht="16" customHeight="1" x14ac:dyDescent="0.35">
      <c r="A31" s="266">
        <v>28</v>
      </c>
      <c r="B31" s="163">
        <v>496</v>
      </c>
      <c r="C31" s="145">
        <v>816</v>
      </c>
      <c r="D31" s="145">
        <v>1170</v>
      </c>
      <c r="E31" s="145">
        <v>1530</v>
      </c>
      <c r="F31" s="145">
        <v>1943</v>
      </c>
      <c r="G31" s="172">
        <v>2398</v>
      </c>
      <c r="H31" s="170"/>
      <c r="I31" s="266">
        <v>28</v>
      </c>
      <c r="J31" s="150">
        <v>872</v>
      </c>
      <c r="K31" s="151">
        <v>1435</v>
      </c>
      <c r="L31" s="151">
        <v>2058</v>
      </c>
      <c r="M31" s="151">
        <v>2691</v>
      </c>
      <c r="N31" s="151">
        <v>3418</v>
      </c>
      <c r="O31" s="152">
        <v>4218</v>
      </c>
      <c r="P31" s="170"/>
      <c r="Q31" s="266">
        <v>28</v>
      </c>
      <c r="R31" s="166">
        <v>1965</v>
      </c>
      <c r="S31" s="158">
        <v>3233</v>
      </c>
      <c r="T31" s="158">
        <v>4636</v>
      </c>
      <c r="U31" s="158">
        <v>6062</v>
      </c>
      <c r="V31" s="158">
        <v>7699</v>
      </c>
      <c r="W31" s="159">
        <v>9501</v>
      </c>
      <c r="X31" s="170"/>
      <c r="Y31" s="170"/>
      <c r="Z31" s="228"/>
      <c r="AA31" s="234"/>
      <c r="AB31" s="234"/>
      <c r="AC31" s="235" t="s">
        <v>71</v>
      </c>
      <c r="AD31" s="228"/>
      <c r="AE31" s="228"/>
      <c r="AF31" s="231"/>
      <c r="AG31" s="231"/>
      <c r="AH31" s="228"/>
      <c r="AI31" s="228"/>
      <c r="AJ31" s="228"/>
    </row>
    <row r="32" spans="1:36" ht="16" customHeight="1" x14ac:dyDescent="0.3">
      <c r="A32" s="266">
        <v>30</v>
      </c>
      <c r="B32" s="163">
        <v>521</v>
      </c>
      <c r="C32" s="145">
        <v>846</v>
      </c>
      <c r="D32" s="145">
        <v>1215</v>
      </c>
      <c r="E32" s="145">
        <v>1582</v>
      </c>
      <c r="F32" s="145">
        <v>2000</v>
      </c>
      <c r="G32" s="172">
        <v>2468</v>
      </c>
      <c r="H32" s="170"/>
      <c r="I32" s="266">
        <v>30</v>
      </c>
      <c r="J32" s="150">
        <v>916</v>
      </c>
      <c r="K32" s="151">
        <v>1488</v>
      </c>
      <c r="L32" s="151">
        <v>2137</v>
      </c>
      <c r="M32" s="151">
        <v>2783</v>
      </c>
      <c r="N32" s="151">
        <v>3518</v>
      </c>
      <c r="O32" s="152">
        <v>4341</v>
      </c>
      <c r="P32" s="170"/>
      <c r="Q32" s="266">
        <v>30</v>
      </c>
      <c r="R32" s="166">
        <v>2064</v>
      </c>
      <c r="S32" s="158">
        <v>3352</v>
      </c>
      <c r="T32" s="158">
        <v>4814</v>
      </c>
      <c r="U32" s="158">
        <v>6268</v>
      </c>
      <c r="V32" s="158">
        <v>7924</v>
      </c>
      <c r="W32" s="159">
        <v>9779</v>
      </c>
      <c r="X32" s="170"/>
      <c r="Y32" s="170"/>
      <c r="Z32" s="228"/>
      <c r="AA32" s="234"/>
      <c r="AB32" s="234"/>
      <c r="AC32" s="232"/>
      <c r="AD32" s="232"/>
      <c r="AE32" s="232"/>
      <c r="AF32" s="232"/>
      <c r="AG32" s="232"/>
      <c r="AH32" s="228"/>
      <c r="AI32" s="228"/>
      <c r="AJ32" s="228"/>
    </row>
    <row r="33" spans="1:36" ht="16" customHeight="1" thickBot="1" x14ac:dyDescent="0.35">
      <c r="A33" s="266">
        <v>32</v>
      </c>
      <c r="B33" s="163">
        <v>546</v>
      </c>
      <c r="C33" s="145">
        <v>876</v>
      </c>
      <c r="D33" s="145">
        <v>1261</v>
      </c>
      <c r="E33" s="145">
        <v>1635</v>
      </c>
      <c r="F33" s="145">
        <v>2060</v>
      </c>
      <c r="G33" s="172">
        <v>2532</v>
      </c>
      <c r="H33" s="170"/>
      <c r="I33" s="266">
        <v>32</v>
      </c>
      <c r="J33" s="150">
        <v>960</v>
      </c>
      <c r="K33" s="151">
        <v>1541</v>
      </c>
      <c r="L33" s="151">
        <v>2218</v>
      </c>
      <c r="M33" s="151">
        <v>2876</v>
      </c>
      <c r="N33" s="151">
        <v>3624</v>
      </c>
      <c r="O33" s="152">
        <v>4454</v>
      </c>
      <c r="P33" s="170"/>
      <c r="Q33" s="266">
        <v>32</v>
      </c>
      <c r="R33" s="166">
        <v>2163</v>
      </c>
      <c r="S33" s="158">
        <v>3471</v>
      </c>
      <c r="T33" s="158">
        <v>4996</v>
      </c>
      <c r="U33" s="158">
        <v>6478</v>
      </c>
      <c r="V33" s="158">
        <v>8162</v>
      </c>
      <c r="W33" s="159">
        <v>10032</v>
      </c>
      <c r="X33" s="170"/>
      <c r="Y33" s="170"/>
      <c r="Z33" s="228"/>
      <c r="AA33" s="229" t="s">
        <v>79</v>
      </c>
      <c r="AB33" s="233"/>
      <c r="AC33" s="233"/>
      <c r="AD33" s="233"/>
      <c r="AE33" s="233"/>
      <c r="AF33" s="233"/>
      <c r="AG33" s="233"/>
      <c r="AH33" s="228"/>
      <c r="AI33" s="228"/>
      <c r="AJ33" s="228"/>
    </row>
    <row r="34" spans="1:36" ht="16" customHeight="1" thickBot="1" x14ac:dyDescent="0.35">
      <c r="A34" s="266">
        <v>34</v>
      </c>
      <c r="B34" s="163">
        <v>571</v>
      </c>
      <c r="C34" s="145">
        <v>909</v>
      </c>
      <c r="D34" s="145">
        <v>1304</v>
      </c>
      <c r="E34" s="145">
        <v>1688</v>
      </c>
      <c r="F34" s="145">
        <v>2119</v>
      </c>
      <c r="G34" s="172">
        <v>2598</v>
      </c>
      <c r="H34" s="170"/>
      <c r="I34" s="266">
        <v>34</v>
      </c>
      <c r="J34" s="150">
        <v>1004</v>
      </c>
      <c r="K34" s="151">
        <v>1599</v>
      </c>
      <c r="L34" s="151">
        <v>2294</v>
      </c>
      <c r="M34" s="151">
        <v>2969</v>
      </c>
      <c r="N34" s="151">
        <v>3727</v>
      </c>
      <c r="O34" s="152">
        <v>4570</v>
      </c>
      <c r="P34" s="170"/>
      <c r="Q34" s="266">
        <v>34</v>
      </c>
      <c r="R34" s="166">
        <v>2262</v>
      </c>
      <c r="S34" s="158">
        <v>3602</v>
      </c>
      <c r="T34" s="158">
        <v>5167</v>
      </c>
      <c r="U34" s="158">
        <v>6688</v>
      </c>
      <c r="V34" s="158">
        <v>8396</v>
      </c>
      <c r="W34" s="159">
        <v>10294</v>
      </c>
      <c r="X34" s="170"/>
      <c r="Y34" s="170"/>
      <c r="Z34" s="228"/>
      <c r="AA34" s="443" t="s">
        <v>78</v>
      </c>
      <c r="AB34" s="444"/>
      <c r="AC34" s="206" t="s">
        <v>73</v>
      </c>
      <c r="AD34" s="207" t="s">
        <v>74</v>
      </c>
      <c r="AE34" s="208" t="s">
        <v>75</v>
      </c>
      <c r="AF34" s="228"/>
      <c r="AG34" s="449" t="s">
        <v>80</v>
      </c>
      <c r="AH34" s="450"/>
      <c r="AI34" s="450"/>
      <c r="AJ34" s="228"/>
    </row>
    <row r="35" spans="1:36" ht="16" customHeight="1" x14ac:dyDescent="0.3">
      <c r="A35" s="266">
        <v>36</v>
      </c>
      <c r="B35" s="163">
        <v>594</v>
      </c>
      <c r="C35" s="145">
        <v>935</v>
      </c>
      <c r="D35" s="145">
        <v>1349</v>
      </c>
      <c r="E35" s="145">
        <v>1743</v>
      </c>
      <c r="F35" s="145">
        <v>2179</v>
      </c>
      <c r="G35" s="172">
        <v>2662</v>
      </c>
      <c r="H35" s="170"/>
      <c r="I35" s="266">
        <v>36</v>
      </c>
      <c r="J35" s="150">
        <v>1045</v>
      </c>
      <c r="K35" s="151">
        <v>1645</v>
      </c>
      <c r="L35" s="151">
        <v>2373</v>
      </c>
      <c r="M35" s="151">
        <v>3066</v>
      </c>
      <c r="N35" s="151">
        <v>3833</v>
      </c>
      <c r="O35" s="152">
        <v>4683</v>
      </c>
      <c r="P35" s="170"/>
      <c r="Q35" s="266">
        <v>36</v>
      </c>
      <c r="R35" s="166">
        <v>2354</v>
      </c>
      <c r="S35" s="158">
        <v>3705</v>
      </c>
      <c r="T35" s="158">
        <v>5345</v>
      </c>
      <c r="U35" s="158">
        <v>6906</v>
      </c>
      <c r="V35" s="158">
        <v>8634</v>
      </c>
      <c r="W35" s="159">
        <v>10547</v>
      </c>
      <c r="X35" s="170"/>
      <c r="Y35" s="170"/>
      <c r="Z35" s="228"/>
      <c r="AA35" s="445" t="s">
        <v>77</v>
      </c>
      <c r="AB35" s="446"/>
      <c r="AC35" s="220">
        <v>2</v>
      </c>
      <c r="AD35" s="221">
        <v>1</v>
      </c>
      <c r="AE35" s="222">
        <v>1</v>
      </c>
      <c r="AF35" s="228"/>
      <c r="AG35" s="450"/>
      <c r="AH35" s="450"/>
      <c r="AI35" s="450"/>
      <c r="AJ35" s="228"/>
    </row>
    <row r="36" spans="1:36" ht="16" customHeight="1" thickBot="1" x14ac:dyDescent="0.35">
      <c r="A36" s="266">
        <v>38</v>
      </c>
      <c r="B36" s="163">
        <v>618</v>
      </c>
      <c r="C36" s="145">
        <v>967</v>
      </c>
      <c r="D36" s="145">
        <v>1392</v>
      </c>
      <c r="E36" s="145">
        <v>1793</v>
      </c>
      <c r="F36" s="145">
        <v>2234</v>
      </c>
      <c r="G36" s="172">
        <v>2726</v>
      </c>
      <c r="H36" s="170"/>
      <c r="I36" s="266">
        <v>38</v>
      </c>
      <c r="J36" s="150">
        <v>1087</v>
      </c>
      <c r="K36" s="151">
        <v>1701</v>
      </c>
      <c r="L36" s="151">
        <v>2449</v>
      </c>
      <c r="M36" s="151">
        <v>3154</v>
      </c>
      <c r="N36" s="151">
        <v>3930</v>
      </c>
      <c r="O36" s="152">
        <v>4795</v>
      </c>
      <c r="P36" s="170"/>
      <c r="Q36" s="266">
        <v>38</v>
      </c>
      <c r="R36" s="166">
        <v>2449</v>
      </c>
      <c r="S36" s="158">
        <v>3831</v>
      </c>
      <c r="T36" s="158">
        <v>5515</v>
      </c>
      <c r="U36" s="158">
        <v>7104</v>
      </c>
      <c r="V36" s="158">
        <v>8852</v>
      </c>
      <c r="W36" s="159">
        <v>10801</v>
      </c>
      <c r="X36" s="170"/>
      <c r="Y36" s="170"/>
      <c r="Z36" s="228"/>
      <c r="AA36" s="447"/>
      <c r="AB36" s="448"/>
      <c r="AC36" s="218">
        <v>3</v>
      </c>
      <c r="AD36" s="217">
        <v>3</v>
      </c>
      <c r="AE36" s="219">
        <v>2</v>
      </c>
      <c r="AF36" s="228"/>
      <c r="AG36" s="450"/>
      <c r="AH36" s="450"/>
      <c r="AI36" s="450"/>
      <c r="AJ36" s="228"/>
    </row>
    <row r="37" spans="1:36" ht="16" customHeight="1" x14ac:dyDescent="0.3">
      <c r="A37" s="266">
        <v>40</v>
      </c>
      <c r="B37" s="163">
        <v>642</v>
      </c>
      <c r="C37" s="145">
        <v>994</v>
      </c>
      <c r="D37" s="145">
        <v>1432</v>
      </c>
      <c r="E37" s="145">
        <v>1843</v>
      </c>
      <c r="F37" s="145">
        <v>2290</v>
      </c>
      <c r="G37" s="172">
        <v>2787</v>
      </c>
      <c r="H37" s="170"/>
      <c r="I37" s="266">
        <v>40</v>
      </c>
      <c r="J37" s="150">
        <v>1129</v>
      </c>
      <c r="K37" s="151">
        <v>1749</v>
      </c>
      <c r="L37" s="151">
        <v>2519</v>
      </c>
      <c r="M37" s="151">
        <v>3242</v>
      </c>
      <c r="N37" s="151">
        <v>4028</v>
      </c>
      <c r="O37" s="152">
        <v>4903</v>
      </c>
      <c r="P37" s="170"/>
      <c r="Q37" s="266">
        <v>40</v>
      </c>
      <c r="R37" s="166">
        <v>2544</v>
      </c>
      <c r="S37" s="158">
        <v>3938</v>
      </c>
      <c r="T37" s="158">
        <v>5674</v>
      </c>
      <c r="U37" s="158">
        <v>7302</v>
      </c>
      <c r="V37" s="158">
        <v>9074</v>
      </c>
      <c r="W37" s="159">
        <v>11043</v>
      </c>
      <c r="X37" s="170"/>
      <c r="Y37" s="170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</row>
    <row r="38" spans="1:36" ht="16" customHeight="1" x14ac:dyDescent="0.3">
      <c r="A38" s="266">
        <v>42</v>
      </c>
      <c r="B38" s="163">
        <v>664</v>
      </c>
      <c r="C38" s="145">
        <v>1024</v>
      </c>
      <c r="D38" s="145">
        <v>1472</v>
      </c>
      <c r="E38" s="145">
        <v>1894</v>
      </c>
      <c r="F38" s="145">
        <v>2344</v>
      </c>
      <c r="G38" s="172">
        <v>2848</v>
      </c>
      <c r="H38" s="170"/>
      <c r="I38" s="266">
        <v>42</v>
      </c>
      <c r="J38" s="150">
        <v>1168</v>
      </c>
      <c r="K38" s="151">
        <v>1801</v>
      </c>
      <c r="L38" s="151">
        <v>2589</v>
      </c>
      <c r="M38" s="151">
        <v>3332</v>
      </c>
      <c r="N38" s="151">
        <v>4123</v>
      </c>
      <c r="O38" s="152">
        <v>5010</v>
      </c>
      <c r="P38" s="170"/>
      <c r="Q38" s="266">
        <v>42</v>
      </c>
      <c r="R38" s="166">
        <v>2631</v>
      </c>
      <c r="S38" s="158">
        <v>4057</v>
      </c>
      <c r="T38" s="158">
        <v>5832</v>
      </c>
      <c r="U38" s="158">
        <v>7504</v>
      </c>
      <c r="V38" s="158">
        <v>9287</v>
      </c>
      <c r="W38" s="159">
        <v>11284</v>
      </c>
      <c r="X38" s="170"/>
      <c r="Y38" s="170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</row>
    <row r="39" spans="1:36" ht="16" customHeight="1" x14ac:dyDescent="0.3">
      <c r="A39" s="266">
        <v>44</v>
      </c>
      <c r="B39" s="163">
        <v>685</v>
      </c>
      <c r="C39" s="145">
        <v>1053</v>
      </c>
      <c r="D39" s="145">
        <v>1511</v>
      </c>
      <c r="E39" s="145">
        <v>1942</v>
      </c>
      <c r="F39" s="145">
        <v>2399</v>
      </c>
      <c r="G39" s="172">
        <v>2908</v>
      </c>
      <c r="H39" s="170"/>
      <c r="I39" s="266">
        <v>44</v>
      </c>
      <c r="J39" s="150">
        <v>1205</v>
      </c>
      <c r="K39" s="151">
        <v>1852</v>
      </c>
      <c r="L39" s="151">
        <v>2658</v>
      </c>
      <c r="M39" s="151">
        <v>3416</v>
      </c>
      <c r="N39" s="151">
        <v>4220</v>
      </c>
      <c r="O39" s="152">
        <v>5115</v>
      </c>
      <c r="P39" s="170"/>
      <c r="Q39" s="266">
        <v>44</v>
      </c>
      <c r="R39" s="166">
        <v>2714</v>
      </c>
      <c r="S39" s="158">
        <v>4172</v>
      </c>
      <c r="T39" s="158">
        <v>5987</v>
      </c>
      <c r="U39" s="158">
        <v>7695</v>
      </c>
      <c r="V39" s="158">
        <v>9505</v>
      </c>
      <c r="W39" s="159">
        <v>11522</v>
      </c>
      <c r="X39" s="170"/>
      <c r="Y39" s="170"/>
      <c r="Z39" s="228"/>
      <c r="AA39" s="326" t="s">
        <v>101</v>
      </c>
      <c r="AB39" s="228"/>
      <c r="AC39" s="228"/>
      <c r="AD39" s="228"/>
      <c r="AE39" s="228"/>
      <c r="AF39" s="228"/>
      <c r="AG39" s="228"/>
      <c r="AH39" s="228"/>
      <c r="AI39" s="228"/>
      <c r="AJ39" s="228"/>
    </row>
    <row r="40" spans="1:36" ht="16" customHeight="1" thickBot="1" x14ac:dyDescent="0.35">
      <c r="A40" s="266">
        <v>46</v>
      </c>
      <c r="B40" s="163">
        <v>708</v>
      </c>
      <c r="C40" s="145">
        <v>1080</v>
      </c>
      <c r="D40" s="145">
        <v>1550</v>
      </c>
      <c r="E40" s="145">
        <v>1990</v>
      </c>
      <c r="F40" s="145">
        <v>2452</v>
      </c>
      <c r="G40" s="172">
        <v>2966</v>
      </c>
      <c r="H40" s="170"/>
      <c r="I40" s="266">
        <v>46</v>
      </c>
      <c r="J40" s="150">
        <v>1245</v>
      </c>
      <c r="K40" s="151">
        <v>1900</v>
      </c>
      <c r="L40" s="151">
        <v>2727</v>
      </c>
      <c r="M40" s="151">
        <v>3501</v>
      </c>
      <c r="N40" s="151">
        <v>4313</v>
      </c>
      <c r="O40" s="152">
        <v>5217</v>
      </c>
      <c r="P40" s="170"/>
      <c r="Q40" s="266">
        <v>46</v>
      </c>
      <c r="R40" s="166">
        <v>2805</v>
      </c>
      <c r="S40" s="158">
        <v>4279</v>
      </c>
      <c r="T40" s="158">
        <v>6141</v>
      </c>
      <c r="U40" s="158">
        <v>7885</v>
      </c>
      <c r="V40" s="158">
        <v>9715</v>
      </c>
      <c r="W40" s="159">
        <v>11752</v>
      </c>
      <c r="X40" s="170"/>
      <c r="Y40" s="170"/>
      <c r="Z40" s="228"/>
      <c r="AA40" s="236" t="s">
        <v>81</v>
      </c>
      <c r="AB40" s="228"/>
      <c r="AC40" s="228"/>
      <c r="AD40" s="228"/>
      <c r="AE40" s="228"/>
      <c r="AF40" s="228"/>
      <c r="AG40" s="228"/>
      <c r="AH40" s="228"/>
      <c r="AI40" s="228"/>
      <c r="AJ40" s="228"/>
    </row>
    <row r="41" spans="1:36" ht="16" customHeight="1" thickBot="1" x14ac:dyDescent="0.35">
      <c r="A41" s="266">
        <v>48</v>
      </c>
      <c r="B41" s="163">
        <v>729</v>
      </c>
      <c r="C41" s="145">
        <v>1110</v>
      </c>
      <c r="D41" s="145">
        <v>1585</v>
      </c>
      <c r="E41" s="145">
        <v>2037</v>
      </c>
      <c r="F41" s="145">
        <v>2504</v>
      </c>
      <c r="G41" s="172">
        <v>3025</v>
      </c>
      <c r="H41" s="170"/>
      <c r="I41" s="266">
        <v>48</v>
      </c>
      <c r="J41" s="150">
        <v>1282</v>
      </c>
      <c r="K41" s="151">
        <v>1953</v>
      </c>
      <c r="L41" s="151">
        <v>2788</v>
      </c>
      <c r="M41" s="151">
        <v>3583</v>
      </c>
      <c r="N41" s="151">
        <v>4405</v>
      </c>
      <c r="O41" s="152">
        <v>5321</v>
      </c>
      <c r="P41" s="170"/>
      <c r="Q41" s="266">
        <v>48</v>
      </c>
      <c r="R41" s="166">
        <v>2888</v>
      </c>
      <c r="S41" s="158">
        <v>4398</v>
      </c>
      <c r="T41" s="158">
        <v>6280</v>
      </c>
      <c r="U41" s="158">
        <v>8071</v>
      </c>
      <c r="V41" s="158">
        <v>9921</v>
      </c>
      <c r="W41" s="159">
        <v>11986</v>
      </c>
      <c r="X41" s="170"/>
      <c r="Y41" s="170"/>
      <c r="Z41" s="228"/>
      <c r="AA41" s="451" t="s">
        <v>104</v>
      </c>
      <c r="AB41" s="452"/>
      <c r="AC41" s="226">
        <v>1</v>
      </c>
      <c r="AD41" s="195">
        <v>2</v>
      </c>
      <c r="AE41" s="195">
        <v>3</v>
      </c>
      <c r="AF41" s="195">
        <v>4</v>
      </c>
      <c r="AG41" s="196">
        <v>5</v>
      </c>
      <c r="AH41" s="228"/>
      <c r="AI41" s="228"/>
      <c r="AJ41" s="228"/>
    </row>
    <row r="42" spans="1:36" ht="16" customHeight="1" thickBot="1" x14ac:dyDescent="0.35">
      <c r="A42" s="267">
        <v>50</v>
      </c>
      <c r="B42" s="164">
        <v>750</v>
      </c>
      <c r="C42" s="146">
        <v>1141</v>
      </c>
      <c r="D42" s="146">
        <v>1619</v>
      </c>
      <c r="E42" s="146">
        <v>2083</v>
      </c>
      <c r="F42" s="146">
        <v>2556</v>
      </c>
      <c r="G42" s="173">
        <v>3082</v>
      </c>
      <c r="H42" s="170"/>
      <c r="I42" s="267">
        <v>50</v>
      </c>
      <c r="J42" s="153">
        <v>1319</v>
      </c>
      <c r="K42" s="154">
        <v>2007</v>
      </c>
      <c r="L42" s="154">
        <v>2848</v>
      </c>
      <c r="M42" s="154">
        <v>3664</v>
      </c>
      <c r="N42" s="154">
        <v>4496</v>
      </c>
      <c r="O42" s="155">
        <v>5421</v>
      </c>
      <c r="P42" s="170"/>
      <c r="Q42" s="267">
        <v>50</v>
      </c>
      <c r="R42" s="167">
        <v>2972</v>
      </c>
      <c r="S42" s="160">
        <v>4521</v>
      </c>
      <c r="T42" s="160">
        <v>6415</v>
      </c>
      <c r="U42" s="160">
        <v>8253</v>
      </c>
      <c r="V42" s="160">
        <v>10127</v>
      </c>
      <c r="W42" s="161">
        <v>12212</v>
      </c>
      <c r="X42" s="170"/>
      <c r="Y42" s="170"/>
      <c r="Z42" s="228"/>
      <c r="AA42" s="453" t="s">
        <v>103</v>
      </c>
      <c r="AB42" s="454"/>
      <c r="AC42" s="223">
        <v>1</v>
      </c>
      <c r="AD42" s="224">
        <v>1.05</v>
      </c>
      <c r="AE42" s="224">
        <v>1.0900000000000001</v>
      </c>
      <c r="AF42" s="224">
        <v>1.1200000000000001</v>
      </c>
      <c r="AG42" s="225">
        <v>1.1499999999999999</v>
      </c>
      <c r="AH42" s="228"/>
      <c r="AI42" s="228"/>
      <c r="AJ42" s="228"/>
    </row>
    <row r="43" spans="1:36" ht="16" customHeight="1" x14ac:dyDescent="0.3">
      <c r="B43" s="187" t="s">
        <v>50</v>
      </c>
      <c r="H43" s="188"/>
      <c r="P43" s="188"/>
      <c r="R43" s="261" t="s">
        <v>83</v>
      </c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</row>
    <row r="44" spans="1:36" ht="16" customHeight="1" x14ac:dyDescent="0.3">
      <c r="H44" s="188"/>
      <c r="P44" s="188"/>
    </row>
    <row r="45" spans="1:36" ht="16" customHeight="1" x14ac:dyDescent="0.3">
      <c r="P45" s="188"/>
    </row>
    <row r="46" spans="1:36" ht="16" customHeight="1" x14ac:dyDescent="0.3">
      <c r="P46" s="188"/>
    </row>
    <row r="47" spans="1:36" ht="16" customHeight="1" x14ac:dyDescent="0.3"/>
    <row r="48" spans="1:36" ht="16" customHeight="1" x14ac:dyDescent="0.3"/>
    <row r="49" ht="16" customHeight="1" x14ac:dyDescent="0.3"/>
    <row r="50" ht="16" customHeight="1" x14ac:dyDescent="0.3"/>
    <row r="51" ht="16" customHeight="1" x14ac:dyDescent="0.3"/>
    <row r="52" ht="16" customHeight="1" x14ac:dyDescent="0.3"/>
    <row r="53" ht="16" customHeight="1" x14ac:dyDescent="0.3"/>
    <row r="54" ht="16" customHeight="1" x14ac:dyDescent="0.3"/>
    <row r="55" ht="16" customHeight="1" x14ac:dyDescent="0.3"/>
    <row r="56" ht="16" customHeight="1" x14ac:dyDescent="0.3"/>
    <row r="57" ht="16" customHeight="1" x14ac:dyDescent="0.3"/>
    <row r="58" ht="16" customHeight="1" x14ac:dyDescent="0.3"/>
    <row r="59" ht="16" customHeight="1" x14ac:dyDescent="0.3"/>
    <row r="60" ht="16" customHeight="1" x14ac:dyDescent="0.3"/>
    <row r="61" ht="16" customHeight="1" x14ac:dyDescent="0.3"/>
    <row r="62" ht="16" customHeight="1" x14ac:dyDescent="0.3"/>
    <row r="63" ht="16" customHeight="1" x14ac:dyDescent="0.3"/>
    <row r="64" ht="16" customHeight="1" x14ac:dyDescent="0.3"/>
    <row r="65" ht="16" customHeight="1" x14ac:dyDescent="0.3"/>
    <row r="66" ht="16" customHeight="1" x14ac:dyDescent="0.3"/>
    <row r="67" ht="16" customHeight="1" x14ac:dyDescent="0.3"/>
    <row r="68" ht="16" customHeight="1" x14ac:dyDescent="0.3"/>
    <row r="69" ht="16" customHeight="1" x14ac:dyDescent="0.3"/>
    <row r="70" ht="16" customHeight="1" x14ac:dyDescent="0.3"/>
    <row r="71" ht="16" customHeight="1" x14ac:dyDescent="0.3"/>
    <row r="72" ht="16" customHeight="1" x14ac:dyDescent="0.3"/>
    <row r="73" ht="16" customHeight="1" x14ac:dyDescent="0.3"/>
    <row r="74" ht="16" customHeight="1" x14ac:dyDescent="0.3"/>
    <row r="75" ht="16" customHeight="1" x14ac:dyDescent="0.3"/>
  </sheetData>
  <mergeCells count="32">
    <mergeCell ref="AA34:AB34"/>
    <mergeCell ref="AA35:AB36"/>
    <mergeCell ref="AG34:AI36"/>
    <mergeCell ref="AA41:AB41"/>
    <mergeCell ref="AA42:AB42"/>
    <mergeCell ref="B1:W2"/>
    <mergeCell ref="AC9:AE9"/>
    <mergeCell ref="AB9:AB10"/>
    <mergeCell ref="AA9:AA10"/>
    <mergeCell ref="AC29:AC30"/>
    <mergeCell ref="AA29:AB30"/>
    <mergeCell ref="AC27:AC28"/>
    <mergeCell ref="AD27:AD28"/>
    <mergeCell ref="AE27:AE28"/>
    <mergeCell ref="AF27:AF28"/>
    <mergeCell ref="AG27:AG28"/>
    <mergeCell ref="AA27:AB28"/>
    <mergeCell ref="J4:L4"/>
    <mergeCell ref="R4:T4"/>
    <mergeCell ref="B4:D4"/>
    <mergeCell ref="F4:G4"/>
    <mergeCell ref="N4:O4"/>
    <mergeCell ref="A5:A6"/>
    <mergeCell ref="I5:I6"/>
    <mergeCell ref="Q5:Q6"/>
    <mergeCell ref="B5:G5"/>
    <mergeCell ref="AB7:AD7"/>
    <mergeCell ref="AA20:AB20"/>
    <mergeCell ref="AA21:AB21"/>
    <mergeCell ref="AA22:AB22"/>
    <mergeCell ref="J5:O5"/>
    <mergeCell ref="R5:W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9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:H3"/>
    </sheetView>
  </sheetViews>
  <sheetFormatPr defaultColWidth="9.15234375" defaultRowHeight="12.45" x14ac:dyDescent="0.3"/>
  <cols>
    <col min="1" max="1" width="13.69140625" style="187" customWidth="1"/>
    <col min="2" max="2" width="20.69140625" style="187" customWidth="1"/>
    <col min="3" max="3" width="5.69140625" style="187" hidden="1" customWidth="1"/>
    <col min="4" max="4" width="13.69140625" style="187" hidden="1" customWidth="1"/>
    <col min="5" max="5" width="20.69140625" style="187" customWidth="1"/>
    <col min="6" max="6" width="5.69140625" style="187" hidden="1" customWidth="1"/>
    <col min="7" max="7" width="13.69140625" style="187" hidden="1" customWidth="1"/>
    <col min="8" max="8" width="20.69140625" style="187" customWidth="1"/>
    <col min="9" max="9" width="9.15234375" style="188" hidden="1" customWidth="1"/>
    <col min="10" max="10" width="5.84375" style="188" customWidth="1"/>
    <col min="11" max="11" width="4" style="187" customWidth="1"/>
    <col min="12" max="20" width="9.15234375" style="187"/>
    <col min="21" max="21" width="4.53515625" style="187" customWidth="1"/>
    <col min="22" max="23" width="4" style="187" customWidth="1"/>
    <col min="24" max="30" width="9.15234375" style="187"/>
    <col min="31" max="31" width="5" style="187" customWidth="1"/>
    <col min="32" max="16384" width="9.15234375" style="187"/>
  </cols>
  <sheetData>
    <row r="1" spans="1:31" ht="16" customHeight="1" x14ac:dyDescent="0.3">
      <c r="B1" s="372" t="s">
        <v>149</v>
      </c>
      <c r="C1" s="484"/>
      <c r="D1" s="484"/>
      <c r="E1" s="484"/>
      <c r="F1" s="484"/>
      <c r="G1" s="484"/>
      <c r="H1" s="484"/>
      <c r="I1" s="191"/>
      <c r="J1" s="191"/>
    </row>
    <row r="2" spans="1:31" ht="16" customHeight="1" x14ac:dyDescent="0.3">
      <c r="A2" s="141"/>
      <c r="B2" s="484"/>
      <c r="C2" s="484"/>
      <c r="D2" s="484"/>
      <c r="E2" s="484"/>
      <c r="F2" s="484"/>
      <c r="G2" s="484"/>
      <c r="H2" s="484"/>
      <c r="I2" s="191"/>
      <c r="J2" s="191"/>
    </row>
    <row r="3" spans="1:31" ht="16" customHeight="1" thickBot="1" x14ac:dyDescent="0.35">
      <c r="A3" s="141"/>
      <c r="B3" s="484"/>
      <c r="C3" s="484"/>
      <c r="D3" s="484"/>
      <c r="E3" s="484"/>
      <c r="F3" s="484"/>
      <c r="G3" s="484"/>
      <c r="H3" s="484"/>
      <c r="I3" s="191"/>
      <c r="J3" s="191"/>
    </row>
    <row r="4" spans="1:31" ht="20.149999999999999" customHeight="1" thickBot="1" x14ac:dyDescent="0.35">
      <c r="A4" s="352" t="s">
        <v>131</v>
      </c>
      <c r="B4" s="358">
        <v>8.25</v>
      </c>
      <c r="C4" s="188"/>
      <c r="E4" s="360">
        <v>4.6900000000000004</v>
      </c>
      <c r="F4" s="188"/>
      <c r="H4" s="370">
        <v>3.21</v>
      </c>
      <c r="J4" s="276" t="s">
        <v>84</v>
      </c>
    </row>
    <row r="5" spans="1:31" ht="20.149999999999999" customHeight="1" thickBot="1" x14ac:dyDescent="0.35">
      <c r="A5" s="242" t="s">
        <v>47</v>
      </c>
      <c r="B5" s="359" t="s">
        <v>137</v>
      </c>
      <c r="C5" s="354"/>
      <c r="D5" s="357" t="s">
        <v>135</v>
      </c>
      <c r="E5" s="361" t="s">
        <v>41</v>
      </c>
      <c r="F5" s="356"/>
      <c r="G5" s="357" t="s">
        <v>135</v>
      </c>
      <c r="H5" s="371" t="s">
        <v>146</v>
      </c>
    </row>
    <row r="6" spans="1:31" ht="16" customHeight="1" x14ac:dyDescent="0.3">
      <c r="A6" s="268">
        <v>1</v>
      </c>
      <c r="B6" s="334">
        <v>36</v>
      </c>
      <c r="C6" s="170"/>
      <c r="D6" s="268">
        <v>1</v>
      </c>
      <c r="E6" s="147">
        <v>63</v>
      </c>
      <c r="F6" s="170"/>
      <c r="G6" s="268">
        <v>1</v>
      </c>
      <c r="H6" s="165">
        <v>143</v>
      </c>
      <c r="I6" s="170"/>
      <c r="J6" s="170"/>
      <c r="L6" s="408" t="s">
        <v>132</v>
      </c>
      <c r="M6" s="487"/>
      <c r="N6" s="487"/>
      <c r="O6" s="487"/>
      <c r="P6" s="1"/>
    </row>
    <row r="7" spans="1:31" ht="16" customHeight="1" thickBot="1" x14ac:dyDescent="0.35">
      <c r="A7" s="269">
        <v>2</v>
      </c>
      <c r="B7" s="335">
        <v>58</v>
      </c>
      <c r="C7" s="170"/>
      <c r="D7" s="269">
        <v>2</v>
      </c>
      <c r="E7" s="150">
        <v>102</v>
      </c>
      <c r="F7" s="170"/>
      <c r="G7" s="269">
        <v>2</v>
      </c>
      <c r="H7" s="166">
        <v>230</v>
      </c>
      <c r="I7" s="170"/>
      <c r="J7" s="170"/>
      <c r="L7" s="51"/>
      <c r="M7" s="51"/>
      <c r="N7" s="1"/>
      <c r="O7" s="1"/>
      <c r="P7" s="1"/>
    </row>
    <row r="8" spans="1:31" ht="16" customHeight="1" x14ac:dyDescent="0.3">
      <c r="A8" s="269">
        <v>3</v>
      </c>
      <c r="B8" s="335">
        <v>75</v>
      </c>
      <c r="C8" s="170"/>
      <c r="D8" s="269">
        <v>3</v>
      </c>
      <c r="E8" s="150">
        <v>132</v>
      </c>
      <c r="F8" s="170"/>
      <c r="G8" s="269">
        <v>3</v>
      </c>
      <c r="H8" s="166">
        <v>297</v>
      </c>
      <c r="I8" s="170"/>
      <c r="J8" s="170"/>
      <c r="L8" s="512" t="s">
        <v>48</v>
      </c>
      <c r="M8" s="401" t="s">
        <v>1</v>
      </c>
      <c r="N8" s="402"/>
      <c r="O8" s="403"/>
      <c r="P8" s="68"/>
    </row>
    <row r="9" spans="1:31" ht="16" customHeight="1" thickBot="1" x14ac:dyDescent="0.35">
      <c r="A9" s="269">
        <v>4</v>
      </c>
      <c r="B9" s="335">
        <v>91</v>
      </c>
      <c r="C9" s="170"/>
      <c r="D9" s="269">
        <v>4</v>
      </c>
      <c r="E9" s="150">
        <v>160</v>
      </c>
      <c r="F9" s="170"/>
      <c r="G9" s="269">
        <v>4</v>
      </c>
      <c r="H9" s="166">
        <v>361</v>
      </c>
      <c r="I9" s="170"/>
      <c r="J9" s="170"/>
      <c r="L9" s="513"/>
      <c r="M9" s="175" t="s">
        <v>52</v>
      </c>
      <c r="N9" s="174" t="s">
        <v>34</v>
      </c>
      <c r="O9" s="71" t="s">
        <v>53</v>
      </c>
    </row>
    <row r="10" spans="1:31" ht="16" customHeight="1" thickBot="1" x14ac:dyDescent="0.35">
      <c r="A10" s="269">
        <v>5</v>
      </c>
      <c r="B10" s="335">
        <v>106</v>
      </c>
      <c r="C10" s="170"/>
      <c r="D10" s="269">
        <v>5</v>
      </c>
      <c r="E10" s="150">
        <v>186</v>
      </c>
      <c r="F10" s="170"/>
      <c r="G10" s="269">
        <v>5</v>
      </c>
      <c r="H10" s="166">
        <v>420</v>
      </c>
      <c r="I10" s="170"/>
      <c r="J10" s="170"/>
      <c r="L10" s="333">
        <v>3</v>
      </c>
      <c r="M10" s="185">
        <f>Interpolate1DTable(L10,$A$6:$B$38)</f>
        <v>75</v>
      </c>
      <c r="N10" s="186">
        <f>Interpolate1DTable(L10,$D$6:$E$38)</f>
        <v>132</v>
      </c>
      <c r="O10" s="241">
        <f>Interpolate1DTable(L10,$G$6:$H$38)</f>
        <v>297</v>
      </c>
    </row>
    <row r="11" spans="1:31" ht="16" customHeight="1" x14ac:dyDescent="0.3">
      <c r="A11" s="269">
        <v>10</v>
      </c>
      <c r="B11" s="335">
        <v>168</v>
      </c>
      <c r="C11" s="170"/>
      <c r="D11" s="269">
        <v>10</v>
      </c>
      <c r="E11" s="150">
        <v>296</v>
      </c>
      <c r="F11" s="170"/>
      <c r="G11" s="269">
        <v>10</v>
      </c>
      <c r="H11" s="166">
        <v>666</v>
      </c>
      <c r="I11" s="170"/>
      <c r="J11" s="170"/>
    </row>
    <row r="12" spans="1:31" ht="16" customHeight="1" x14ac:dyDescent="0.3">
      <c r="A12" s="269">
        <v>15</v>
      </c>
      <c r="B12" s="335">
        <v>220</v>
      </c>
      <c r="C12" s="170"/>
      <c r="D12" s="269">
        <v>15</v>
      </c>
      <c r="E12" s="150">
        <v>387</v>
      </c>
      <c r="F12" s="170"/>
      <c r="G12" s="269">
        <v>15</v>
      </c>
      <c r="H12" s="166">
        <v>872</v>
      </c>
      <c r="I12" s="170"/>
      <c r="J12" s="170"/>
    </row>
    <row r="13" spans="1:31" ht="16" customHeight="1" x14ac:dyDescent="0.3">
      <c r="A13" s="269">
        <v>20</v>
      </c>
      <c r="B13" s="335">
        <v>267</v>
      </c>
      <c r="C13" s="170"/>
      <c r="D13" s="269">
        <v>20</v>
      </c>
      <c r="E13" s="150">
        <v>470</v>
      </c>
      <c r="F13" s="170"/>
      <c r="G13" s="269">
        <v>20</v>
      </c>
      <c r="H13" s="166">
        <v>1058</v>
      </c>
      <c r="I13" s="170"/>
      <c r="J13" s="170"/>
      <c r="K13" s="311"/>
      <c r="L13" s="238" t="s">
        <v>92</v>
      </c>
      <c r="M13" s="312"/>
      <c r="N13" s="311"/>
      <c r="O13" s="311"/>
      <c r="P13" s="311"/>
      <c r="Q13" s="311"/>
      <c r="R13" s="311"/>
      <c r="S13" s="311"/>
      <c r="T13" s="311"/>
      <c r="U13" s="311"/>
      <c r="W13" s="228"/>
      <c r="X13" s="238" t="s">
        <v>118</v>
      </c>
      <c r="Y13" s="228"/>
      <c r="Z13" s="228"/>
      <c r="AA13" s="228"/>
      <c r="AB13" s="228"/>
      <c r="AC13" s="228"/>
      <c r="AD13" s="228"/>
      <c r="AE13" s="228"/>
    </row>
    <row r="14" spans="1:31" ht="16" customHeight="1" x14ac:dyDescent="0.3">
      <c r="A14" s="269">
        <v>25</v>
      </c>
      <c r="B14" s="335">
        <v>311</v>
      </c>
      <c r="C14" s="170"/>
      <c r="D14" s="269">
        <v>25</v>
      </c>
      <c r="E14" s="150">
        <v>547</v>
      </c>
      <c r="F14" s="170"/>
      <c r="G14" s="269">
        <v>25</v>
      </c>
      <c r="H14" s="166">
        <v>1232</v>
      </c>
      <c r="I14" s="170"/>
      <c r="J14" s="170"/>
      <c r="K14" s="311"/>
      <c r="L14" s="313"/>
      <c r="M14" s="313"/>
      <c r="N14" s="311"/>
      <c r="O14" s="311"/>
      <c r="P14" s="311"/>
      <c r="Q14" s="311"/>
      <c r="R14" s="311"/>
      <c r="S14" s="311"/>
      <c r="T14" s="311"/>
      <c r="U14" s="311"/>
      <c r="W14" s="228"/>
      <c r="X14" s="228"/>
      <c r="Y14" s="228"/>
      <c r="Z14" s="228"/>
      <c r="AA14" s="228"/>
      <c r="AB14" s="228"/>
      <c r="AC14" s="228"/>
      <c r="AD14" s="228"/>
      <c r="AE14" s="228"/>
    </row>
    <row r="15" spans="1:31" ht="16" customHeight="1" thickBot="1" x14ac:dyDescent="0.35">
      <c r="A15" s="269">
        <v>30</v>
      </c>
      <c r="B15" s="335">
        <v>350</v>
      </c>
      <c r="C15" s="170"/>
      <c r="D15" s="269">
        <v>30</v>
      </c>
      <c r="E15" s="150">
        <v>616</v>
      </c>
      <c r="F15" s="170"/>
      <c r="G15" s="269">
        <v>30</v>
      </c>
      <c r="H15" s="166">
        <v>1387</v>
      </c>
      <c r="I15" s="170"/>
      <c r="J15" s="170"/>
      <c r="K15" s="311"/>
      <c r="L15" s="482" t="s">
        <v>100</v>
      </c>
      <c r="M15" s="483"/>
      <c r="N15" s="483"/>
      <c r="O15" s="483"/>
      <c r="P15" s="483"/>
      <c r="Q15" s="483"/>
      <c r="R15" s="483"/>
      <c r="S15" s="483"/>
      <c r="T15" s="483"/>
      <c r="U15" s="311"/>
      <c r="W15" s="228"/>
      <c r="X15" s="327" t="s">
        <v>114</v>
      </c>
      <c r="Y15" s="228"/>
      <c r="Z15" s="228"/>
      <c r="AA15" s="228"/>
      <c r="AB15" s="228"/>
      <c r="AC15" s="228"/>
      <c r="AD15" s="228"/>
      <c r="AE15" s="228"/>
    </row>
    <row r="16" spans="1:31" ht="16" customHeight="1" x14ac:dyDescent="0.3">
      <c r="A16" s="269">
        <v>40</v>
      </c>
      <c r="B16" s="335">
        <v>425</v>
      </c>
      <c r="C16" s="170"/>
      <c r="D16" s="269">
        <v>40</v>
      </c>
      <c r="E16" s="150">
        <v>748</v>
      </c>
      <c r="F16" s="170"/>
      <c r="G16" s="269">
        <v>40</v>
      </c>
      <c r="H16" s="166">
        <v>1684</v>
      </c>
      <c r="I16" s="170"/>
      <c r="J16" s="170"/>
      <c r="K16" s="311"/>
      <c r="L16" s="410" t="s">
        <v>85</v>
      </c>
      <c r="M16" s="488"/>
      <c r="N16" s="488"/>
      <c r="O16" s="474" t="s">
        <v>86</v>
      </c>
      <c r="P16" s="475"/>
      <c r="Q16" s="475"/>
      <c r="R16" s="475"/>
      <c r="S16" s="475"/>
      <c r="T16" s="476"/>
      <c r="U16" s="311"/>
      <c r="W16" s="228"/>
      <c r="X16" s="325" t="s">
        <v>121</v>
      </c>
      <c r="Y16" s="228"/>
      <c r="Z16" s="228"/>
      <c r="AA16" s="228"/>
      <c r="AB16" s="228"/>
      <c r="AC16" s="228"/>
      <c r="AD16" s="228"/>
      <c r="AE16" s="228"/>
    </row>
    <row r="17" spans="1:31" ht="16" customHeight="1" thickBot="1" x14ac:dyDescent="0.35">
      <c r="A17" s="269">
        <v>50</v>
      </c>
      <c r="B17" s="335">
        <v>493</v>
      </c>
      <c r="C17" s="170"/>
      <c r="D17" s="269">
        <v>50</v>
      </c>
      <c r="E17" s="150">
        <v>867</v>
      </c>
      <c r="F17" s="170"/>
      <c r="G17" s="269">
        <v>50</v>
      </c>
      <c r="H17" s="166">
        <v>1953</v>
      </c>
      <c r="I17" s="170"/>
      <c r="J17" s="170"/>
      <c r="K17" s="311"/>
      <c r="L17" s="489"/>
      <c r="M17" s="490"/>
      <c r="N17" s="490"/>
      <c r="O17" s="477" t="s">
        <v>87</v>
      </c>
      <c r="P17" s="478"/>
      <c r="Q17" s="479"/>
      <c r="R17" s="480" t="s">
        <v>88</v>
      </c>
      <c r="S17" s="478"/>
      <c r="T17" s="481"/>
      <c r="U17" s="311"/>
      <c r="W17" s="228"/>
      <c r="X17" s="228"/>
      <c r="Y17" s="228"/>
      <c r="Z17" s="228"/>
      <c r="AA17" s="228"/>
      <c r="AB17" s="228"/>
      <c r="AC17" s="228"/>
      <c r="AD17" s="228"/>
      <c r="AE17" s="228"/>
    </row>
    <row r="18" spans="1:31" ht="16" customHeight="1" thickBot="1" x14ac:dyDescent="0.4">
      <c r="A18" s="269">
        <v>60</v>
      </c>
      <c r="B18" s="335">
        <v>556</v>
      </c>
      <c r="C18" s="170"/>
      <c r="D18" s="269">
        <v>60</v>
      </c>
      <c r="E18" s="150">
        <v>978</v>
      </c>
      <c r="F18" s="170"/>
      <c r="G18" s="269">
        <v>60</v>
      </c>
      <c r="H18" s="166">
        <v>2203</v>
      </c>
      <c r="I18" s="170"/>
      <c r="J18" s="170"/>
      <c r="K18" s="311"/>
      <c r="L18" s="514"/>
      <c r="M18" s="488"/>
      <c r="N18" s="491" t="s">
        <v>89</v>
      </c>
      <c r="O18" s="278"/>
      <c r="P18" s="279"/>
      <c r="Q18" s="301"/>
      <c r="R18" s="302"/>
      <c r="S18" s="280"/>
      <c r="T18" s="281"/>
      <c r="U18" s="311"/>
      <c r="W18" s="228"/>
      <c r="X18" s="328" t="s">
        <v>115</v>
      </c>
      <c r="Y18" s="228"/>
      <c r="Z18" s="228"/>
      <c r="AA18" s="228"/>
      <c r="AB18" s="228"/>
      <c r="AC18" s="228"/>
      <c r="AD18" s="228"/>
      <c r="AE18" s="228"/>
    </row>
    <row r="19" spans="1:31" ht="16" customHeight="1" thickBot="1" x14ac:dyDescent="0.35">
      <c r="A19" s="269">
        <v>70</v>
      </c>
      <c r="B19" s="335">
        <v>616</v>
      </c>
      <c r="C19" s="170"/>
      <c r="D19" s="269">
        <v>70</v>
      </c>
      <c r="E19" s="150">
        <v>1084</v>
      </c>
      <c r="F19" s="170"/>
      <c r="G19" s="269">
        <v>70</v>
      </c>
      <c r="H19" s="166">
        <v>2441</v>
      </c>
      <c r="I19" s="170"/>
      <c r="J19" s="170"/>
      <c r="K19" s="311"/>
      <c r="L19" s="489"/>
      <c r="M19" s="490"/>
      <c r="N19" s="492"/>
      <c r="O19" s="282"/>
      <c r="P19" s="486" t="s">
        <v>94</v>
      </c>
      <c r="Q19" s="485" t="s">
        <v>126</v>
      </c>
      <c r="R19" s="290"/>
      <c r="S19" s="469" t="s">
        <v>88</v>
      </c>
      <c r="T19" s="470" t="s">
        <v>127</v>
      </c>
      <c r="U19" s="311"/>
      <c r="W19" s="228"/>
      <c r="X19" s="443" t="s">
        <v>116</v>
      </c>
      <c r="Y19" s="519"/>
      <c r="Z19" s="520"/>
      <c r="AA19" s="343" t="s">
        <v>42</v>
      </c>
      <c r="AB19" s="344" t="s">
        <v>43</v>
      </c>
      <c r="AC19" s="344" t="s">
        <v>44</v>
      </c>
      <c r="AD19" s="345" t="s">
        <v>45</v>
      </c>
      <c r="AE19" s="228"/>
    </row>
    <row r="20" spans="1:31" ht="16" customHeight="1" thickBot="1" x14ac:dyDescent="0.35">
      <c r="A20" s="269">
        <v>80</v>
      </c>
      <c r="B20" s="335">
        <v>673</v>
      </c>
      <c r="C20" s="170"/>
      <c r="D20" s="269">
        <v>80</v>
      </c>
      <c r="E20" s="150">
        <v>1184</v>
      </c>
      <c r="F20" s="170"/>
      <c r="G20" s="269">
        <v>80</v>
      </c>
      <c r="H20" s="166">
        <v>2667</v>
      </c>
      <c r="I20" s="170"/>
      <c r="J20" s="170"/>
      <c r="K20" s="311"/>
      <c r="L20" s="489"/>
      <c r="M20" s="490"/>
      <c r="N20" s="492"/>
      <c r="O20" s="282"/>
      <c r="P20" s="455"/>
      <c r="Q20" s="479"/>
      <c r="R20" s="290"/>
      <c r="S20" s="455"/>
      <c r="T20" s="471"/>
      <c r="U20" s="311"/>
      <c r="W20" s="228"/>
      <c r="X20" s="521" t="s">
        <v>117</v>
      </c>
      <c r="Y20" s="522"/>
      <c r="Z20" s="523"/>
      <c r="AA20" s="329">
        <v>1</v>
      </c>
      <c r="AB20" s="330">
        <v>1.25</v>
      </c>
      <c r="AC20" s="330">
        <v>1.4</v>
      </c>
      <c r="AD20" s="331">
        <v>1.5</v>
      </c>
      <c r="AE20" s="228"/>
    </row>
    <row r="21" spans="1:31" ht="16" customHeight="1" x14ac:dyDescent="0.35">
      <c r="A21" s="269">
        <v>90</v>
      </c>
      <c r="B21" s="335">
        <v>729</v>
      </c>
      <c r="C21" s="170"/>
      <c r="D21" s="269">
        <v>90</v>
      </c>
      <c r="E21" s="150">
        <v>1282</v>
      </c>
      <c r="F21" s="170"/>
      <c r="G21" s="269">
        <v>90</v>
      </c>
      <c r="H21" s="166">
        <v>2888</v>
      </c>
      <c r="I21" s="170"/>
      <c r="J21" s="170"/>
      <c r="K21" s="311"/>
      <c r="L21" s="489"/>
      <c r="M21" s="490"/>
      <c r="N21" s="492"/>
      <c r="O21" s="282"/>
      <c r="P21" s="455"/>
      <c r="Q21" s="479"/>
      <c r="R21" s="294"/>
      <c r="S21" s="455"/>
      <c r="T21" s="471"/>
      <c r="U21" s="311"/>
      <c r="W21" s="228"/>
      <c r="X21" s="228"/>
      <c r="Y21" s="228"/>
      <c r="Z21" s="228"/>
      <c r="AA21" s="228"/>
      <c r="AB21" s="228"/>
      <c r="AC21" s="228"/>
      <c r="AD21" s="228"/>
      <c r="AE21" s="228"/>
    </row>
    <row r="22" spans="1:31" ht="16" customHeight="1" x14ac:dyDescent="0.35">
      <c r="A22" s="269">
        <v>100</v>
      </c>
      <c r="B22" s="335">
        <v>782</v>
      </c>
      <c r="C22" s="170"/>
      <c r="D22" s="269">
        <v>100</v>
      </c>
      <c r="E22" s="150">
        <v>1376</v>
      </c>
      <c r="F22" s="170"/>
      <c r="G22" s="269">
        <v>100</v>
      </c>
      <c r="H22" s="166">
        <v>3098</v>
      </c>
      <c r="I22" s="170"/>
      <c r="J22" s="170"/>
      <c r="K22" s="311"/>
      <c r="L22" s="509"/>
      <c r="M22" s="510"/>
      <c r="N22" s="493"/>
      <c r="O22" s="303"/>
      <c r="P22" s="292"/>
      <c r="Q22" s="243"/>
      <c r="R22" s="291"/>
      <c r="S22" s="296"/>
      <c r="T22" s="338"/>
      <c r="U22" s="311"/>
      <c r="W22" s="228"/>
      <c r="X22" s="325" t="s">
        <v>119</v>
      </c>
      <c r="Y22" s="228"/>
      <c r="Z22" s="228"/>
      <c r="AA22" s="228"/>
      <c r="AB22" s="228"/>
      <c r="AC22" s="228"/>
      <c r="AD22" s="228"/>
      <c r="AE22" s="228"/>
    </row>
    <row r="23" spans="1:31" ht="16" customHeight="1" x14ac:dyDescent="0.35">
      <c r="A23" s="269">
        <v>110</v>
      </c>
      <c r="B23" s="335">
        <v>833</v>
      </c>
      <c r="C23" s="170"/>
      <c r="D23" s="269">
        <v>110</v>
      </c>
      <c r="E23" s="150">
        <v>1465</v>
      </c>
      <c r="F23" s="170"/>
      <c r="G23" s="269">
        <v>110</v>
      </c>
      <c r="H23" s="166">
        <v>3301</v>
      </c>
      <c r="I23" s="170"/>
      <c r="J23" s="170"/>
      <c r="K23" s="311"/>
      <c r="L23" s="502"/>
      <c r="M23" s="503"/>
      <c r="N23" s="494" t="s">
        <v>90</v>
      </c>
      <c r="O23" s="304"/>
      <c r="P23" s="297" t="s">
        <v>93</v>
      </c>
      <c r="Q23" s="298" t="s">
        <v>96</v>
      </c>
      <c r="R23" s="289"/>
      <c r="S23" s="293"/>
      <c r="T23" s="339"/>
      <c r="U23" s="311"/>
      <c r="W23" s="228"/>
      <c r="X23" s="332" t="s">
        <v>120</v>
      </c>
      <c r="Y23" s="228"/>
      <c r="Z23" s="228"/>
      <c r="AA23" s="228"/>
      <c r="AB23" s="228"/>
      <c r="AC23" s="228"/>
      <c r="AD23" s="228"/>
      <c r="AE23" s="228"/>
    </row>
    <row r="24" spans="1:31" ht="16" customHeight="1" x14ac:dyDescent="0.35">
      <c r="A24" s="269">
        <v>120</v>
      </c>
      <c r="B24" s="335">
        <v>883</v>
      </c>
      <c r="C24" s="170"/>
      <c r="D24" s="269">
        <v>120</v>
      </c>
      <c r="E24" s="150">
        <v>1553</v>
      </c>
      <c r="F24" s="170"/>
      <c r="G24" s="269">
        <v>120</v>
      </c>
      <c r="H24" s="166">
        <v>3499</v>
      </c>
      <c r="I24" s="170"/>
      <c r="J24" s="170"/>
      <c r="K24" s="311"/>
      <c r="L24" s="489"/>
      <c r="M24" s="490"/>
      <c r="N24" s="495"/>
      <c r="O24" s="283"/>
      <c r="P24" s="52"/>
      <c r="Q24" s="295"/>
      <c r="R24" s="294"/>
      <c r="S24" s="469" t="s">
        <v>88</v>
      </c>
      <c r="T24" s="470" t="s">
        <v>127</v>
      </c>
      <c r="U24" s="311"/>
      <c r="W24" s="228"/>
      <c r="X24" s="228"/>
      <c r="Y24" s="228"/>
      <c r="Z24" s="228"/>
      <c r="AA24" s="228"/>
      <c r="AB24" s="228"/>
      <c r="AC24" s="228"/>
      <c r="AD24" s="228"/>
      <c r="AE24" s="228"/>
    </row>
    <row r="25" spans="1:31" ht="16" customHeight="1" x14ac:dyDescent="0.35">
      <c r="A25" s="269">
        <v>140</v>
      </c>
      <c r="B25" s="335">
        <v>979</v>
      </c>
      <c r="C25" s="170"/>
      <c r="D25" s="269">
        <v>140</v>
      </c>
      <c r="E25" s="150">
        <v>1722</v>
      </c>
      <c r="F25" s="170"/>
      <c r="G25" s="269">
        <v>140</v>
      </c>
      <c r="H25" s="166">
        <v>3879</v>
      </c>
      <c r="I25" s="170"/>
      <c r="J25" s="170"/>
      <c r="K25" s="311"/>
      <c r="L25" s="489"/>
      <c r="M25" s="490"/>
      <c r="N25" s="495"/>
      <c r="O25" s="282"/>
      <c r="P25" s="52" t="s">
        <v>95</v>
      </c>
      <c r="Q25" s="299" t="s">
        <v>97</v>
      </c>
      <c r="R25" s="294"/>
      <c r="S25" s="455"/>
      <c r="T25" s="471"/>
      <c r="U25" s="311"/>
      <c r="W25" s="228"/>
      <c r="X25" s="228"/>
      <c r="Y25" s="228"/>
      <c r="Z25" s="228"/>
      <c r="AA25" s="228"/>
      <c r="AB25" s="228"/>
      <c r="AC25" s="228"/>
      <c r="AD25" s="228"/>
      <c r="AE25" s="228"/>
    </row>
    <row r="26" spans="1:31" ht="16" customHeight="1" x14ac:dyDescent="0.35">
      <c r="A26" s="269">
        <v>160</v>
      </c>
      <c r="B26" s="335">
        <v>1069</v>
      </c>
      <c r="C26" s="170"/>
      <c r="D26" s="269">
        <v>160</v>
      </c>
      <c r="E26" s="150">
        <v>1880</v>
      </c>
      <c r="F26" s="170"/>
      <c r="G26" s="269">
        <v>160</v>
      </c>
      <c r="H26" s="166">
        <v>4236</v>
      </c>
      <c r="I26" s="170"/>
      <c r="J26" s="170"/>
      <c r="K26" s="311"/>
      <c r="L26" s="489"/>
      <c r="M26" s="490"/>
      <c r="N26" s="495"/>
      <c r="O26" s="283"/>
      <c r="P26" s="52"/>
      <c r="Q26" s="295"/>
      <c r="R26" s="294"/>
      <c r="S26" s="455"/>
      <c r="T26" s="471"/>
      <c r="U26" s="311"/>
      <c r="W26" s="228"/>
      <c r="X26" s="516" t="s">
        <v>113</v>
      </c>
      <c r="Y26" s="517"/>
      <c r="Z26" s="517"/>
      <c r="AA26" s="517"/>
      <c r="AB26" s="517"/>
      <c r="AC26" s="228"/>
      <c r="AD26" s="228"/>
      <c r="AE26" s="228"/>
    </row>
    <row r="27" spans="1:31" ht="16" customHeight="1" thickBot="1" x14ac:dyDescent="0.45">
      <c r="A27" s="269">
        <v>180</v>
      </c>
      <c r="B27" s="335">
        <v>1156</v>
      </c>
      <c r="C27" s="170"/>
      <c r="D27" s="269">
        <v>180</v>
      </c>
      <c r="E27" s="150">
        <v>2033</v>
      </c>
      <c r="F27" s="170"/>
      <c r="G27" s="269">
        <v>180</v>
      </c>
      <c r="H27" s="166">
        <v>4580</v>
      </c>
      <c r="I27" s="170"/>
      <c r="J27" s="170"/>
      <c r="K27" s="311"/>
      <c r="L27" s="509"/>
      <c r="M27" s="510"/>
      <c r="N27" s="493"/>
      <c r="O27" s="303"/>
      <c r="P27" s="300" t="s">
        <v>93</v>
      </c>
      <c r="Q27" s="305" t="s">
        <v>96</v>
      </c>
      <c r="R27" s="291"/>
      <c r="S27" s="296"/>
      <c r="T27" s="338"/>
      <c r="U27" s="311"/>
      <c r="W27" s="228"/>
      <c r="X27" s="518"/>
      <c r="Y27" s="518"/>
      <c r="Z27" s="518"/>
      <c r="AA27" s="518"/>
      <c r="AB27" s="518"/>
      <c r="AC27" s="228"/>
      <c r="AD27" s="228"/>
      <c r="AE27" s="228"/>
    </row>
    <row r="28" spans="1:31" ht="16" customHeight="1" x14ac:dyDescent="0.35">
      <c r="A28" s="269">
        <v>200</v>
      </c>
      <c r="B28" s="335">
        <v>1241</v>
      </c>
      <c r="C28" s="170"/>
      <c r="D28" s="269">
        <v>200</v>
      </c>
      <c r="E28" s="150">
        <v>2183</v>
      </c>
      <c r="F28" s="170"/>
      <c r="G28" s="269">
        <v>200</v>
      </c>
      <c r="H28" s="166">
        <v>4917</v>
      </c>
      <c r="I28" s="170"/>
      <c r="J28" s="170"/>
      <c r="K28" s="311"/>
      <c r="L28" s="502"/>
      <c r="M28" s="503"/>
      <c r="N28" s="494" t="s">
        <v>91</v>
      </c>
      <c r="O28" s="304"/>
      <c r="P28" s="306" t="s">
        <v>93</v>
      </c>
      <c r="Q28" s="308" t="s">
        <v>96</v>
      </c>
      <c r="R28" s="256"/>
      <c r="S28" s="188"/>
      <c r="T28" s="340"/>
      <c r="U28" s="311"/>
      <c r="W28" s="228"/>
      <c r="X28" s="496" t="s">
        <v>107</v>
      </c>
      <c r="Y28" s="498" t="s">
        <v>46</v>
      </c>
      <c r="Z28" s="499"/>
      <c r="AA28" s="463" t="s">
        <v>108</v>
      </c>
      <c r="AB28" s="464"/>
      <c r="AC28" s="228"/>
      <c r="AD28" s="228"/>
      <c r="AE28" s="228"/>
    </row>
    <row r="29" spans="1:31" ht="16" customHeight="1" thickBot="1" x14ac:dyDescent="0.4">
      <c r="A29" s="269">
        <v>220</v>
      </c>
      <c r="B29" s="335">
        <v>1322</v>
      </c>
      <c r="C29" s="170"/>
      <c r="D29" s="269">
        <v>220</v>
      </c>
      <c r="E29" s="150">
        <v>2325</v>
      </c>
      <c r="F29" s="170"/>
      <c r="G29" s="269">
        <v>220</v>
      </c>
      <c r="H29" s="166">
        <v>5238</v>
      </c>
      <c r="I29" s="170"/>
      <c r="J29" s="170"/>
      <c r="K29" s="311"/>
      <c r="L29" s="489"/>
      <c r="M29" s="490"/>
      <c r="N29" s="495"/>
      <c r="O29" s="283"/>
      <c r="P29" s="307"/>
      <c r="Q29" s="507" t="s">
        <v>99</v>
      </c>
      <c r="R29" s="2"/>
      <c r="S29" s="469" t="s">
        <v>88</v>
      </c>
      <c r="T29" s="470" t="s">
        <v>127</v>
      </c>
      <c r="U29" s="311"/>
      <c r="W29" s="228"/>
      <c r="X29" s="497"/>
      <c r="Y29" s="500"/>
      <c r="Z29" s="501"/>
      <c r="AA29" s="465"/>
      <c r="AB29" s="466"/>
      <c r="AC29" s="228"/>
      <c r="AD29" s="228"/>
      <c r="AE29" s="228"/>
    </row>
    <row r="30" spans="1:31" ht="16" customHeight="1" x14ac:dyDescent="0.3">
      <c r="A30" s="269">
        <v>240</v>
      </c>
      <c r="B30" s="335">
        <v>1401</v>
      </c>
      <c r="C30" s="170"/>
      <c r="D30" s="269">
        <v>240</v>
      </c>
      <c r="E30" s="150">
        <v>2464</v>
      </c>
      <c r="F30" s="170"/>
      <c r="G30" s="269">
        <v>240</v>
      </c>
      <c r="H30" s="166">
        <v>5551</v>
      </c>
      <c r="I30" s="170"/>
      <c r="J30" s="170"/>
      <c r="K30" s="311"/>
      <c r="L30" s="489"/>
      <c r="M30" s="490"/>
      <c r="N30" s="495"/>
      <c r="O30" s="284"/>
      <c r="P30" s="307" t="s">
        <v>98</v>
      </c>
      <c r="Q30" s="508"/>
      <c r="R30" s="244"/>
      <c r="S30" s="455"/>
      <c r="T30" s="471"/>
      <c r="U30" s="311"/>
      <c r="W30" s="228"/>
      <c r="X30" s="472" t="s">
        <v>109</v>
      </c>
      <c r="Y30" s="511" t="s">
        <v>110</v>
      </c>
      <c r="Z30" s="468"/>
      <c r="AA30" s="467">
        <v>0.2</v>
      </c>
      <c r="AB30" s="468"/>
      <c r="AC30" s="228"/>
      <c r="AD30" s="228"/>
      <c r="AE30" s="228"/>
    </row>
    <row r="31" spans="1:31" ht="16" customHeight="1" thickBot="1" x14ac:dyDescent="0.35">
      <c r="A31" s="269">
        <v>260</v>
      </c>
      <c r="B31" s="335">
        <v>1479</v>
      </c>
      <c r="C31" s="170"/>
      <c r="D31" s="269">
        <v>260</v>
      </c>
      <c r="E31" s="150">
        <v>2602</v>
      </c>
      <c r="F31" s="170"/>
      <c r="G31" s="269">
        <v>260</v>
      </c>
      <c r="H31" s="166">
        <v>5860</v>
      </c>
      <c r="I31" s="170"/>
      <c r="J31" s="170"/>
      <c r="K31" s="311"/>
      <c r="L31" s="489"/>
      <c r="M31" s="490"/>
      <c r="N31" s="495"/>
      <c r="O31" s="284"/>
      <c r="P31" s="307"/>
      <c r="Q31" s="508"/>
      <c r="R31" s="2"/>
      <c r="S31" s="455"/>
      <c r="T31" s="471"/>
      <c r="U31" s="311"/>
      <c r="W31" s="228"/>
      <c r="X31" s="473"/>
      <c r="Y31" s="461" t="s">
        <v>111</v>
      </c>
      <c r="Z31" s="462"/>
      <c r="AA31" s="515">
        <v>0.1</v>
      </c>
      <c r="AB31" s="462"/>
      <c r="AC31" s="228"/>
      <c r="AD31" s="228"/>
      <c r="AE31" s="228"/>
    </row>
    <row r="32" spans="1:31" ht="16" customHeight="1" thickBot="1" x14ac:dyDescent="0.45">
      <c r="A32" s="269">
        <v>280</v>
      </c>
      <c r="B32" s="335">
        <v>1553</v>
      </c>
      <c r="C32" s="170"/>
      <c r="D32" s="269">
        <v>280</v>
      </c>
      <c r="E32" s="150">
        <v>2732</v>
      </c>
      <c r="F32" s="170"/>
      <c r="G32" s="269">
        <v>280</v>
      </c>
      <c r="H32" s="166">
        <v>6153</v>
      </c>
      <c r="I32" s="170"/>
      <c r="J32" s="170"/>
      <c r="K32" s="311"/>
      <c r="L32" s="504"/>
      <c r="M32" s="505"/>
      <c r="N32" s="506"/>
      <c r="O32" s="285"/>
      <c r="P32" s="309" t="s">
        <v>93</v>
      </c>
      <c r="Q32" s="310" t="s">
        <v>96</v>
      </c>
      <c r="R32" s="286"/>
      <c r="S32" s="287"/>
      <c r="T32" s="288"/>
      <c r="U32" s="311"/>
      <c r="W32" s="228"/>
      <c r="X32" s="472" t="s">
        <v>45</v>
      </c>
      <c r="Y32" s="511" t="s">
        <v>110</v>
      </c>
      <c r="Z32" s="468"/>
      <c r="AA32" s="467">
        <v>0.3</v>
      </c>
      <c r="AB32" s="468"/>
      <c r="AC32" s="228"/>
      <c r="AD32" s="228"/>
      <c r="AE32" s="228"/>
    </row>
    <row r="33" spans="1:32" ht="16" customHeight="1" thickBot="1" x14ac:dyDescent="0.35">
      <c r="A33" s="269">
        <v>300</v>
      </c>
      <c r="B33" s="335">
        <v>1627</v>
      </c>
      <c r="C33" s="170"/>
      <c r="D33" s="269">
        <v>300</v>
      </c>
      <c r="E33" s="150">
        <v>2862</v>
      </c>
      <c r="F33" s="170"/>
      <c r="G33" s="269">
        <v>300</v>
      </c>
      <c r="H33" s="166">
        <v>6447</v>
      </c>
      <c r="I33" s="170"/>
      <c r="J33" s="170"/>
      <c r="K33" s="311"/>
      <c r="L33" s="314"/>
      <c r="M33" s="314"/>
      <c r="N33" s="314"/>
      <c r="O33" s="314"/>
      <c r="P33" s="314"/>
      <c r="Q33" s="311"/>
      <c r="R33" s="323"/>
      <c r="S33" s="324"/>
      <c r="T33" s="324"/>
      <c r="U33" s="311"/>
      <c r="W33" s="228"/>
      <c r="X33" s="473"/>
      <c r="Y33" s="461" t="s">
        <v>112</v>
      </c>
      <c r="Z33" s="462"/>
      <c r="AA33" s="515">
        <v>0.2</v>
      </c>
      <c r="AB33" s="462"/>
      <c r="AC33" s="228"/>
      <c r="AD33" s="228"/>
      <c r="AE33" s="228"/>
    </row>
    <row r="34" spans="1:32" ht="16" customHeight="1" x14ac:dyDescent="0.3">
      <c r="A34" s="269">
        <v>320</v>
      </c>
      <c r="B34" s="335">
        <v>1697</v>
      </c>
      <c r="C34" s="170"/>
      <c r="D34" s="269">
        <v>320</v>
      </c>
      <c r="E34" s="150">
        <v>2985</v>
      </c>
      <c r="F34" s="170"/>
      <c r="G34" s="269">
        <v>320</v>
      </c>
      <c r="H34" s="166">
        <v>6724</v>
      </c>
      <c r="I34" s="170"/>
      <c r="J34" s="170"/>
      <c r="K34" s="311"/>
      <c r="L34" s="228"/>
      <c r="M34" s="314"/>
      <c r="N34" s="315"/>
      <c r="O34" s="315"/>
      <c r="P34" s="315"/>
      <c r="Q34" s="311"/>
      <c r="R34" s="324"/>
      <c r="S34" s="324"/>
      <c r="T34" s="324"/>
      <c r="U34" s="311"/>
      <c r="W34" s="228"/>
      <c r="X34" s="228"/>
      <c r="Y34" s="228"/>
      <c r="Z34" s="228"/>
      <c r="AA34" s="228"/>
      <c r="AB34" s="228"/>
      <c r="AC34" s="228"/>
      <c r="AD34" s="228"/>
      <c r="AE34" s="228"/>
    </row>
    <row r="35" spans="1:32" ht="16" customHeight="1" thickBot="1" x14ac:dyDescent="0.35">
      <c r="A35" s="269">
        <v>340</v>
      </c>
      <c r="B35" s="335">
        <v>1768</v>
      </c>
      <c r="C35" s="170"/>
      <c r="D35" s="269">
        <v>340</v>
      </c>
      <c r="E35" s="150">
        <v>3110</v>
      </c>
      <c r="F35" s="170"/>
      <c r="G35" s="269">
        <v>340</v>
      </c>
      <c r="H35" s="166">
        <v>7005</v>
      </c>
      <c r="I35" s="170"/>
      <c r="J35" s="170"/>
      <c r="K35" s="311"/>
      <c r="L35" s="326" t="s">
        <v>101</v>
      </c>
      <c r="M35" s="228"/>
      <c r="N35" s="317"/>
      <c r="O35" s="317"/>
      <c r="P35" s="317"/>
      <c r="Q35" s="311"/>
      <c r="R35" s="324"/>
      <c r="S35" s="324"/>
      <c r="T35" s="324"/>
      <c r="U35" s="311"/>
      <c r="W35" s="227"/>
      <c r="X35" s="227"/>
      <c r="Y35" s="227"/>
      <c r="Z35" s="227"/>
      <c r="AA35" s="227"/>
      <c r="AB35" s="227"/>
      <c r="AC35" s="227"/>
      <c r="AD35" s="227"/>
      <c r="AE35" s="227"/>
      <c r="AF35" s="227"/>
    </row>
    <row r="36" spans="1:32" ht="16" customHeight="1" thickBot="1" x14ac:dyDescent="0.35">
      <c r="A36" s="274">
        <v>360</v>
      </c>
      <c r="B36" s="335">
        <v>1836</v>
      </c>
      <c r="C36" s="170"/>
      <c r="D36" s="274">
        <v>360</v>
      </c>
      <c r="E36" s="270">
        <v>3230</v>
      </c>
      <c r="F36" s="170"/>
      <c r="G36" s="274">
        <v>360</v>
      </c>
      <c r="H36" s="272">
        <v>7275</v>
      </c>
      <c r="I36" s="170"/>
      <c r="J36" s="170"/>
      <c r="K36" s="228"/>
      <c r="L36" s="451" t="s">
        <v>102</v>
      </c>
      <c r="M36" s="452"/>
      <c r="N36" s="193">
        <v>1.5</v>
      </c>
      <c r="O36" s="195">
        <v>2</v>
      </c>
      <c r="P36" s="195">
        <v>2.5</v>
      </c>
      <c r="Q36" s="196">
        <v>2</v>
      </c>
      <c r="R36" s="320"/>
      <c r="S36" s="228"/>
      <c r="T36" s="228"/>
      <c r="U36" s="228"/>
      <c r="W36" s="227"/>
      <c r="X36" s="227"/>
      <c r="Y36" s="227"/>
      <c r="Z36" s="227"/>
      <c r="AA36" s="227"/>
      <c r="AB36" s="227"/>
      <c r="AC36" s="227"/>
      <c r="AD36" s="227"/>
      <c r="AE36" s="227"/>
      <c r="AF36" s="227"/>
    </row>
    <row r="37" spans="1:32" ht="16" customHeight="1" thickBot="1" x14ac:dyDescent="0.35">
      <c r="A37" s="269">
        <v>380</v>
      </c>
      <c r="B37" s="336">
        <v>1902</v>
      </c>
      <c r="C37" s="170"/>
      <c r="D37" s="277">
        <v>380</v>
      </c>
      <c r="E37" s="150">
        <v>3346</v>
      </c>
      <c r="F37" s="170"/>
      <c r="G37" s="277">
        <v>380</v>
      </c>
      <c r="H37" s="166">
        <v>7536</v>
      </c>
      <c r="K37" s="228"/>
      <c r="L37" s="453" t="s">
        <v>103</v>
      </c>
      <c r="M37" s="454"/>
      <c r="N37" s="322">
        <v>1.03</v>
      </c>
      <c r="O37" s="224">
        <v>1.06</v>
      </c>
      <c r="P37" s="224">
        <v>1.1000000000000001</v>
      </c>
      <c r="Q37" s="225">
        <v>1.1499999999999999</v>
      </c>
      <c r="R37" s="321"/>
      <c r="S37" s="228"/>
      <c r="T37" s="228"/>
      <c r="U37" s="228"/>
      <c r="W37" s="227"/>
      <c r="X37" s="227"/>
      <c r="Y37" s="227"/>
      <c r="Z37" s="227"/>
      <c r="AA37" s="227"/>
      <c r="AB37" s="227"/>
      <c r="AC37" s="227"/>
      <c r="AD37" s="227"/>
      <c r="AE37" s="227"/>
      <c r="AF37" s="227"/>
    </row>
    <row r="38" spans="1:32" ht="16" customHeight="1" thickBot="1" x14ac:dyDescent="0.35">
      <c r="A38" s="275">
        <v>400</v>
      </c>
      <c r="B38" s="337">
        <v>1969</v>
      </c>
      <c r="C38" s="170"/>
      <c r="D38" s="275">
        <v>400</v>
      </c>
      <c r="E38" s="271">
        <v>3464</v>
      </c>
      <c r="F38" s="170"/>
      <c r="G38" s="275">
        <v>400</v>
      </c>
      <c r="H38" s="273">
        <v>7802</v>
      </c>
      <c r="K38" s="228"/>
      <c r="L38" s="311"/>
      <c r="M38" s="311"/>
      <c r="N38" s="318"/>
      <c r="O38" s="316"/>
      <c r="P38" s="319"/>
      <c r="Q38" s="316"/>
      <c r="R38" s="311"/>
      <c r="S38" s="228"/>
      <c r="T38" s="228"/>
      <c r="U38" s="228"/>
      <c r="W38" s="227"/>
      <c r="X38" s="227"/>
      <c r="Y38" s="227"/>
      <c r="Z38" s="227"/>
      <c r="AA38" s="227"/>
      <c r="AB38" s="227"/>
      <c r="AC38" s="227"/>
      <c r="AD38" s="227"/>
      <c r="AE38" s="227"/>
      <c r="AF38" s="227"/>
    </row>
    <row r="39" spans="1:32" ht="16" customHeight="1" x14ac:dyDescent="0.35">
      <c r="B39" s="187" t="s">
        <v>50</v>
      </c>
      <c r="F39" s="188"/>
      <c r="H39" s="261" t="s">
        <v>83</v>
      </c>
      <c r="K39" s="228"/>
      <c r="L39" s="230" t="s">
        <v>125</v>
      </c>
      <c r="M39" s="311"/>
      <c r="N39" s="318"/>
      <c r="O39" s="316"/>
      <c r="P39" s="319"/>
      <c r="Q39" s="316"/>
      <c r="R39" s="311"/>
      <c r="S39" s="228"/>
      <c r="T39" s="228"/>
      <c r="U39" s="228"/>
    </row>
    <row r="40" spans="1:32" ht="16" customHeight="1" x14ac:dyDescent="0.35">
      <c r="F40" s="188"/>
      <c r="K40" s="228"/>
      <c r="L40" s="230" t="s">
        <v>124</v>
      </c>
      <c r="M40" s="311"/>
      <c r="N40" s="318"/>
      <c r="O40" s="316"/>
      <c r="P40" s="319"/>
      <c r="Q40" s="316"/>
      <c r="R40" s="311"/>
      <c r="S40" s="228"/>
      <c r="T40" s="228"/>
      <c r="U40" s="228"/>
    </row>
    <row r="41" spans="1:32" ht="16" customHeight="1" x14ac:dyDescent="0.35">
      <c r="K41" s="228"/>
      <c r="L41" s="230" t="s">
        <v>123</v>
      </c>
      <c r="M41" s="311"/>
      <c r="N41" s="318"/>
      <c r="O41" s="316"/>
      <c r="P41" s="319"/>
      <c r="Q41" s="316"/>
      <c r="R41" s="311"/>
      <c r="S41" s="228"/>
      <c r="T41" s="228"/>
      <c r="U41" s="228"/>
    </row>
    <row r="42" spans="1:32" ht="16" customHeight="1" x14ac:dyDescent="0.35">
      <c r="K42" s="228"/>
      <c r="L42" s="230" t="s">
        <v>122</v>
      </c>
      <c r="M42" s="228"/>
      <c r="N42" s="228"/>
      <c r="O42" s="228"/>
      <c r="P42" s="228"/>
      <c r="Q42" s="228"/>
      <c r="R42" s="228"/>
      <c r="S42" s="228"/>
      <c r="T42" s="228"/>
      <c r="U42" s="228"/>
    </row>
    <row r="43" spans="1:32" ht="16" customHeight="1" x14ac:dyDescent="0.3"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</row>
    <row r="44" spans="1:32" ht="16" customHeight="1" x14ac:dyDescent="0.3"/>
    <row r="45" spans="1:32" ht="16" customHeight="1" x14ac:dyDescent="0.3"/>
    <row r="46" spans="1:32" ht="16" customHeight="1" x14ac:dyDescent="0.3"/>
    <row r="47" spans="1:32" ht="16" customHeight="1" x14ac:dyDescent="0.3"/>
    <row r="48" spans="1:32" ht="16" customHeight="1" x14ac:dyDescent="0.3"/>
    <row r="49" ht="16" customHeight="1" x14ac:dyDescent="0.3"/>
    <row r="50" ht="16" customHeight="1" x14ac:dyDescent="0.3"/>
    <row r="51" ht="16" customHeight="1" x14ac:dyDescent="0.3"/>
    <row r="52" ht="16" customHeight="1" x14ac:dyDescent="0.3"/>
    <row r="53" ht="16" customHeight="1" x14ac:dyDescent="0.3"/>
    <row r="54" ht="16" customHeight="1" x14ac:dyDescent="0.3"/>
    <row r="55" ht="16" customHeight="1" x14ac:dyDescent="0.3"/>
    <row r="56" ht="16" customHeight="1" x14ac:dyDescent="0.3"/>
    <row r="57" ht="16" customHeight="1" x14ac:dyDescent="0.3"/>
    <row r="58" ht="16" customHeight="1" x14ac:dyDescent="0.3"/>
    <row r="59" ht="16" customHeight="1" x14ac:dyDescent="0.3"/>
    <row r="60" ht="16" customHeight="1" x14ac:dyDescent="0.3"/>
    <row r="61" ht="16" customHeight="1" x14ac:dyDescent="0.3"/>
    <row r="62" ht="16" customHeight="1" x14ac:dyDescent="0.3"/>
    <row r="63" ht="16" customHeight="1" x14ac:dyDescent="0.3"/>
    <row r="64" ht="16" customHeight="1" x14ac:dyDescent="0.3"/>
    <row r="65" ht="16" customHeight="1" x14ac:dyDescent="0.3"/>
    <row r="66" ht="16" customHeight="1" x14ac:dyDescent="0.3"/>
    <row r="67" ht="16" customHeight="1" x14ac:dyDescent="0.3"/>
    <row r="68" ht="16" customHeight="1" x14ac:dyDescent="0.3"/>
    <row r="69" ht="16" customHeight="1" x14ac:dyDescent="0.3"/>
  </sheetData>
  <mergeCells count="42">
    <mergeCell ref="AA33:AB33"/>
    <mergeCell ref="X26:AB27"/>
    <mergeCell ref="X19:Z19"/>
    <mergeCell ref="X20:Z20"/>
    <mergeCell ref="Y30:Z30"/>
    <mergeCell ref="Q29:Q31"/>
    <mergeCell ref="L23:M27"/>
    <mergeCell ref="Y31:Z31"/>
    <mergeCell ref="Y32:Z32"/>
    <mergeCell ref="X30:X31"/>
    <mergeCell ref="L8:L9"/>
    <mergeCell ref="L18:M22"/>
    <mergeCell ref="B1:H3"/>
    <mergeCell ref="Q19:Q21"/>
    <mergeCell ref="P19:P21"/>
    <mergeCell ref="S19:S21"/>
    <mergeCell ref="S24:S26"/>
    <mergeCell ref="L6:O6"/>
    <mergeCell ref="M8:O8"/>
    <mergeCell ref="L16:N17"/>
    <mergeCell ref="N18:N22"/>
    <mergeCell ref="N23:N27"/>
    <mergeCell ref="O16:T16"/>
    <mergeCell ref="O17:Q17"/>
    <mergeCell ref="R17:T17"/>
    <mergeCell ref="L15:T15"/>
    <mergeCell ref="L36:M36"/>
    <mergeCell ref="L37:M37"/>
    <mergeCell ref="T19:T21"/>
    <mergeCell ref="T24:T26"/>
    <mergeCell ref="L28:M32"/>
    <mergeCell ref="N28:N32"/>
    <mergeCell ref="Y33:Z33"/>
    <mergeCell ref="AA28:AB29"/>
    <mergeCell ref="AA30:AB30"/>
    <mergeCell ref="S29:S31"/>
    <mergeCell ref="T29:T31"/>
    <mergeCell ref="X32:X33"/>
    <mergeCell ref="X28:X29"/>
    <mergeCell ref="Y28:Z29"/>
    <mergeCell ref="AA31:AB31"/>
    <mergeCell ref="AA32:AB3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72"/>
  <sheetViews>
    <sheetView showGridLines="0" tabSelected="1" zoomScale="70" zoomScaleNormal="70" workbookViewId="0">
      <selection activeCell="Y56" sqref="Y56"/>
    </sheetView>
  </sheetViews>
  <sheetFormatPr defaultColWidth="9.15234375" defaultRowHeight="12.45" x14ac:dyDescent="0.3"/>
  <cols>
    <col min="1" max="15" width="10.69140625" style="20" customWidth="1"/>
    <col min="16" max="23" width="9.3046875" style="20" bestFit="1" customWidth="1"/>
    <col min="24" max="48" width="9.53515625" style="20" bestFit="1" customWidth="1"/>
    <col min="49" max="16384" width="9.15234375" style="20"/>
  </cols>
  <sheetData>
    <row r="1" spans="1:12" ht="36.75" customHeight="1" x14ac:dyDescent="0.3">
      <c r="A1" s="537" t="s">
        <v>20</v>
      </c>
      <c r="B1" s="525"/>
      <c r="C1" s="525"/>
      <c r="D1" s="525"/>
      <c r="E1" s="525"/>
    </row>
    <row r="2" spans="1:12" ht="18.75" customHeight="1" x14ac:dyDescent="0.3">
      <c r="A2" s="66" t="s">
        <v>34</v>
      </c>
      <c r="B2" s="538" t="s">
        <v>37</v>
      </c>
      <c r="C2" s="539"/>
      <c r="D2" s="539"/>
      <c r="E2" s="539"/>
      <c r="F2" s="539"/>
    </row>
    <row r="3" spans="1:12" ht="16" customHeight="1" thickBot="1" x14ac:dyDescent="0.35">
      <c r="A3" s="49"/>
      <c r="B3" s="7"/>
      <c r="D3" s="7"/>
      <c r="I3" s="540" t="s">
        <v>12</v>
      </c>
      <c r="J3" s="540"/>
      <c r="K3" s="540"/>
    </row>
    <row r="4" spans="1:12" ht="16" customHeight="1" thickBot="1" x14ac:dyDescent="0.35">
      <c r="A4" s="5" t="s">
        <v>4</v>
      </c>
      <c r="B4" s="140">
        <v>1.109</v>
      </c>
      <c r="C4" s="50" t="s">
        <v>5</v>
      </c>
      <c r="D4" s="51"/>
      <c r="E4" s="6" t="s">
        <v>6</v>
      </c>
      <c r="F4" s="139">
        <v>4.03</v>
      </c>
      <c r="I4" s="541" t="s">
        <v>40</v>
      </c>
      <c r="J4" s="543" t="s">
        <v>14</v>
      </c>
      <c r="K4" s="545" t="s">
        <v>15</v>
      </c>
    </row>
    <row r="5" spans="1:12" ht="16" customHeight="1" thickBot="1" x14ac:dyDescent="0.35">
      <c r="A5" s="6" t="s">
        <v>7</v>
      </c>
      <c r="B5" s="138">
        <v>73.83</v>
      </c>
      <c r="C5" s="50" t="s">
        <v>8</v>
      </c>
      <c r="D5" s="7"/>
      <c r="E5" s="15" t="s">
        <v>9</v>
      </c>
      <c r="F5" s="16">
        <f>LN(2)/(B5*24)</f>
        <v>3.9118424113952392E-4</v>
      </c>
      <c r="G5" s="50" t="s">
        <v>17</v>
      </c>
      <c r="I5" s="542"/>
      <c r="J5" s="544"/>
      <c r="K5" s="546"/>
    </row>
    <row r="6" spans="1:12" ht="16" customHeight="1" thickBot="1" x14ac:dyDescent="0.35">
      <c r="I6" s="17">
        <v>0.9</v>
      </c>
      <c r="J6" s="18">
        <v>4.5</v>
      </c>
      <c r="K6" s="19">
        <v>3.6</v>
      </c>
    </row>
    <row r="7" spans="1:12" ht="18.75" customHeight="1" thickBot="1" x14ac:dyDescent="0.35">
      <c r="A7" s="524" t="s">
        <v>10</v>
      </c>
      <c r="B7" s="525"/>
      <c r="C7" s="525"/>
      <c r="D7" s="525"/>
      <c r="E7" s="52"/>
    </row>
    <row r="8" spans="1:12" ht="22.5" customHeight="1" thickBot="1" x14ac:dyDescent="0.35">
      <c r="A8" s="96"/>
      <c r="B8" s="104" t="s">
        <v>24</v>
      </c>
      <c r="C8" s="108" t="s">
        <v>21</v>
      </c>
      <c r="D8" s="98"/>
      <c r="E8" s="52"/>
    </row>
    <row r="9" spans="1:12" s="51" customFormat="1" ht="16" customHeight="1" x14ac:dyDescent="0.3">
      <c r="A9" s="97"/>
      <c r="B9" s="105">
        <v>0</v>
      </c>
      <c r="C9" s="109">
        <v>1.276</v>
      </c>
    </row>
    <row r="10" spans="1:12" s="51" customFormat="1" ht="16" customHeight="1" x14ac:dyDescent="0.3">
      <c r="A10" s="97"/>
      <c r="B10" s="106">
        <v>0.06</v>
      </c>
      <c r="C10" s="110">
        <v>1.276</v>
      </c>
      <c r="I10" s="10"/>
    </row>
    <row r="11" spans="1:12" s="51" customFormat="1" ht="16" customHeight="1" x14ac:dyDescent="0.3">
      <c r="A11" s="97"/>
      <c r="B11" s="106">
        <v>0.08</v>
      </c>
      <c r="C11" s="110">
        <v>1.1990000000000001</v>
      </c>
      <c r="I11" s="8"/>
    </row>
    <row r="12" spans="1:12" s="51" customFormat="1" ht="16" customHeight="1" x14ac:dyDescent="0.3">
      <c r="A12" s="97"/>
      <c r="B12" s="106">
        <v>0.1</v>
      </c>
      <c r="C12" s="110">
        <v>1.1100000000000001</v>
      </c>
      <c r="H12" s="526" t="s">
        <v>0</v>
      </c>
      <c r="I12" s="527"/>
      <c r="J12" s="527"/>
      <c r="K12" s="20"/>
      <c r="L12" s="20"/>
    </row>
    <row r="13" spans="1:12" s="51" customFormat="1" ht="16" customHeight="1" thickBot="1" x14ac:dyDescent="0.35">
      <c r="A13" s="97"/>
      <c r="B13" s="106">
        <v>0.15</v>
      </c>
      <c r="C13" s="110">
        <v>1.018</v>
      </c>
      <c r="H13" s="20"/>
      <c r="I13" s="20"/>
      <c r="J13" s="20"/>
      <c r="K13" s="20"/>
      <c r="L13" s="20"/>
    </row>
    <row r="14" spans="1:12" s="51" customFormat="1" ht="16" customHeight="1" x14ac:dyDescent="0.3">
      <c r="A14" s="97"/>
      <c r="B14" s="106">
        <v>0.2</v>
      </c>
      <c r="C14" s="110">
        <v>1.0009999999999999</v>
      </c>
      <c r="H14" s="142"/>
      <c r="I14" s="347"/>
      <c r="J14" s="536" t="s">
        <v>1</v>
      </c>
      <c r="K14" s="403"/>
      <c r="L14" s="528"/>
    </row>
    <row r="15" spans="1:12" s="51" customFormat="1" ht="16" customHeight="1" thickBot="1" x14ac:dyDescent="0.35">
      <c r="A15" s="97"/>
      <c r="B15" s="106">
        <v>0.25</v>
      </c>
      <c r="C15" s="110">
        <v>0.995</v>
      </c>
      <c r="H15" s="349" t="s">
        <v>30</v>
      </c>
      <c r="I15" s="350" t="s">
        <v>29</v>
      </c>
      <c r="J15" s="22" t="s">
        <v>23</v>
      </c>
      <c r="K15" s="21" t="s">
        <v>31</v>
      </c>
      <c r="L15" s="529"/>
    </row>
    <row r="16" spans="1:12" s="51" customFormat="1" ht="16" customHeight="1" thickBot="1" x14ac:dyDescent="0.35">
      <c r="A16" s="97"/>
      <c r="B16" s="106">
        <v>0.5</v>
      </c>
      <c r="C16" s="110">
        <v>0.997</v>
      </c>
      <c r="F16" s="54"/>
      <c r="G16" s="54"/>
      <c r="H16" s="137">
        <v>2</v>
      </c>
      <c r="I16" s="136">
        <v>10</v>
      </c>
      <c r="J16" s="135">
        <f>Interpolate1DTable(H16,$B$9:$C$26)</f>
        <v>1.0049999999999999</v>
      </c>
      <c r="K16" s="134">
        <f>Interpolate2DTable(H16,I16,$A$30:$AV$50)</f>
        <v>0.754</v>
      </c>
    </row>
    <row r="17" spans="1:49" s="51" customFormat="1" ht="16" customHeight="1" x14ac:dyDescent="0.3">
      <c r="A17" s="97"/>
      <c r="B17" s="106">
        <v>0.75</v>
      </c>
      <c r="C17" s="110">
        <v>0.998</v>
      </c>
      <c r="F17" s="530"/>
      <c r="G17" s="530"/>
      <c r="H17" s="530"/>
    </row>
    <row r="18" spans="1:49" s="51" customFormat="1" ht="16" customHeight="1" x14ac:dyDescent="0.3">
      <c r="A18" s="97"/>
      <c r="B18" s="106">
        <v>1</v>
      </c>
      <c r="C18" s="110">
        <v>1</v>
      </c>
      <c r="F18" s="530"/>
      <c r="G18" s="530"/>
      <c r="H18" s="530"/>
    </row>
    <row r="19" spans="1:49" s="51" customFormat="1" ht="16" customHeight="1" x14ac:dyDescent="0.3">
      <c r="A19" s="97"/>
      <c r="B19" s="106">
        <v>1.5</v>
      </c>
      <c r="C19" s="110">
        <v>1.0029999999999999</v>
      </c>
      <c r="F19" s="54"/>
      <c r="G19" s="54"/>
      <c r="H19" s="9"/>
      <c r="I19" s="54"/>
      <c r="J19" s="54"/>
      <c r="K19" s="52"/>
    </row>
    <row r="20" spans="1:49" s="51" customFormat="1" ht="16" customHeight="1" x14ac:dyDescent="0.3">
      <c r="A20" s="97"/>
      <c r="B20" s="106">
        <v>2</v>
      </c>
      <c r="C20" s="110">
        <v>1.0049999999999999</v>
      </c>
      <c r="F20" s="55"/>
      <c r="G20" s="9"/>
      <c r="H20" s="133"/>
      <c r="I20" s="54"/>
      <c r="J20" s="54"/>
      <c r="K20" s="69"/>
    </row>
    <row r="21" spans="1:49" s="51" customFormat="1" ht="16" customHeight="1" x14ac:dyDescent="0.3">
      <c r="A21" s="97"/>
      <c r="B21" s="106">
        <v>3</v>
      </c>
      <c r="C21" s="110">
        <v>1.008</v>
      </c>
      <c r="F21" s="55"/>
      <c r="G21" s="9"/>
      <c r="H21" s="99"/>
      <c r="I21" s="54"/>
      <c r="J21" s="54"/>
      <c r="K21" s="70"/>
    </row>
    <row r="22" spans="1:49" s="51" customFormat="1" ht="16" customHeight="1" x14ac:dyDescent="0.3">
      <c r="A22" s="97"/>
      <c r="B22" s="106">
        <v>4</v>
      </c>
      <c r="C22" s="110">
        <v>1.0069999999999999</v>
      </c>
      <c r="F22" s="54"/>
      <c r="G22" s="54"/>
      <c r="H22" s="54"/>
    </row>
    <row r="23" spans="1:49" s="51" customFormat="1" ht="16" customHeight="1" x14ac:dyDescent="0.3">
      <c r="A23" s="97"/>
      <c r="B23" s="106">
        <v>5</v>
      </c>
      <c r="C23" s="110">
        <v>1.0029999999999999</v>
      </c>
      <c r="F23" s="54"/>
      <c r="G23" s="54"/>
      <c r="H23" s="54"/>
    </row>
    <row r="24" spans="1:49" s="51" customFormat="1" ht="16" customHeight="1" x14ac:dyDescent="0.3">
      <c r="A24" s="97"/>
      <c r="B24" s="106">
        <v>6</v>
      </c>
      <c r="C24" s="110">
        <v>0.996</v>
      </c>
    </row>
    <row r="25" spans="1:49" s="51" customFormat="1" ht="16" customHeight="1" x14ac:dyDescent="0.3">
      <c r="A25" s="97"/>
      <c r="B25" s="106">
        <v>8</v>
      </c>
      <c r="C25" s="110">
        <v>0.97199999999999998</v>
      </c>
    </row>
    <row r="26" spans="1:49" s="51" customFormat="1" ht="16" customHeight="1" thickBot="1" x14ac:dyDescent="0.35">
      <c r="B26" s="107">
        <v>10</v>
      </c>
      <c r="C26" s="111">
        <v>0.93899999999999995</v>
      </c>
    </row>
    <row r="27" spans="1:49" s="51" customFormat="1" ht="16" customHeight="1" x14ac:dyDescent="0.3"/>
    <row r="28" spans="1:49" s="51" customFormat="1" ht="21.75" customHeight="1" thickBot="1" x14ac:dyDescent="0.35">
      <c r="A28" s="56" t="s">
        <v>36</v>
      </c>
      <c r="D28" s="51" t="s">
        <v>39</v>
      </c>
    </row>
    <row r="29" spans="1:49" s="51" customFormat="1" ht="19.5" customHeight="1" thickBot="1" x14ac:dyDescent="0.35">
      <c r="A29" s="57" t="s">
        <v>25</v>
      </c>
      <c r="B29" s="531" t="s">
        <v>26</v>
      </c>
      <c r="C29" s="532"/>
      <c r="D29" s="532"/>
      <c r="E29" s="532"/>
      <c r="F29" s="532"/>
      <c r="G29" s="532"/>
      <c r="H29" s="532"/>
      <c r="I29" s="532"/>
      <c r="J29" s="532"/>
      <c r="K29" s="532"/>
      <c r="L29" s="532"/>
      <c r="M29" s="532"/>
      <c r="N29" s="532"/>
      <c r="O29" s="533"/>
      <c r="P29" s="533"/>
      <c r="Q29" s="533"/>
      <c r="R29" s="533"/>
      <c r="S29" s="533"/>
      <c r="T29" s="533"/>
      <c r="U29" s="534"/>
      <c r="V29" s="534"/>
      <c r="W29" s="534"/>
      <c r="X29" s="534"/>
      <c r="Y29" s="534"/>
      <c r="Z29" s="534"/>
      <c r="AA29" s="534"/>
      <c r="AB29" s="534"/>
      <c r="AC29" s="534"/>
      <c r="AD29" s="534"/>
      <c r="AE29" s="534"/>
      <c r="AF29" s="534"/>
      <c r="AG29" s="534"/>
      <c r="AH29" s="534"/>
      <c r="AI29" s="534"/>
      <c r="AJ29" s="534"/>
      <c r="AK29" s="534"/>
      <c r="AL29" s="534"/>
      <c r="AM29" s="534"/>
      <c r="AN29" s="534"/>
      <c r="AO29" s="534"/>
      <c r="AP29" s="534"/>
      <c r="AQ29" s="534"/>
      <c r="AR29" s="534"/>
      <c r="AS29" s="534"/>
      <c r="AT29" s="534"/>
      <c r="AU29" s="534"/>
      <c r="AV29" s="535"/>
    </row>
    <row r="30" spans="1:49" s="51" customFormat="1" ht="16" customHeight="1" thickBot="1" x14ac:dyDescent="0.35">
      <c r="A30" s="132" t="s">
        <v>24</v>
      </c>
      <c r="B30" s="63">
        <v>0</v>
      </c>
      <c r="C30" s="64">
        <v>2</v>
      </c>
      <c r="D30" s="64">
        <v>4</v>
      </c>
      <c r="E30" s="64">
        <v>6</v>
      </c>
      <c r="F30" s="64">
        <v>8</v>
      </c>
      <c r="G30" s="64">
        <v>10</v>
      </c>
      <c r="H30" s="64">
        <v>12</v>
      </c>
      <c r="I30" s="64">
        <v>14</v>
      </c>
      <c r="J30" s="64">
        <v>16</v>
      </c>
      <c r="K30" s="64">
        <v>18</v>
      </c>
      <c r="L30" s="64">
        <v>20</v>
      </c>
      <c r="M30" s="64">
        <v>22</v>
      </c>
      <c r="N30" s="64">
        <v>26</v>
      </c>
      <c r="O30" s="64">
        <v>30</v>
      </c>
      <c r="P30" s="64">
        <v>32</v>
      </c>
      <c r="Q30" s="64">
        <v>36</v>
      </c>
      <c r="R30" s="64">
        <v>40</v>
      </c>
      <c r="S30" s="64">
        <v>50</v>
      </c>
      <c r="T30" s="64">
        <v>60</v>
      </c>
      <c r="U30" s="131">
        <v>70</v>
      </c>
      <c r="V30" s="131">
        <v>80</v>
      </c>
      <c r="W30" s="131">
        <v>90</v>
      </c>
      <c r="X30" s="131">
        <v>100</v>
      </c>
      <c r="Y30" s="131">
        <v>110</v>
      </c>
      <c r="Z30" s="131">
        <v>120</v>
      </c>
      <c r="AA30" s="131">
        <v>130</v>
      </c>
      <c r="AB30" s="131">
        <v>132</v>
      </c>
      <c r="AC30" s="131">
        <v>134</v>
      </c>
      <c r="AD30" s="131">
        <v>136</v>
      </c>
      <c r="AE30" s="131">
        <v>138</v>
      </c>
      <c r="AF30" s="131">
        <v>140</v>
      </c>
      <c r="AG30" s="131">
        <v>144</v>
      </c>
      <c r="AH30" s="131">
        <v>148</v>
      </c>
      <c r="AI30" s="131">
        <v>150</v>
      </c>
      <c r="AJ30" s="131">
        <v>154</v>
      </c>
      <c r="AK30" s="131">
        <v>158</v>
      </c>
      <c r="AL30" s="131">
        <v>160</v>
      </c>
      <c r="AM30" s="131">
        <v>162</v>
      </c>
      <c r="AN30" s="131">
        <v>164</v>
      </c>
      <c r="AO30" s="131">
        <v>166</v>
      </c>
      <c r="AP30" s="131">
        <v>168</v>
      </c>
      <c r="AQ30" s="131">
        <v>170</v>
      </c>
      <c r="AR30" s="131">
        <v>172</v>
      </c>
      <c r="AS30" s="131">
        <v>174</v>
      </c>
      <c r="AT30" s="131">
        <v>176</v>
      </c>
      <c r="AU30" s="131">
        <v>178</v>
      </c>
      <c r="AV30" s="130">
        <v>180</v>
      </c>
      <c r="AW30" s="129" t="s">
        <v>38</v>
      </c>
    </row>
    <row r="31" spans="1:49" s="51" customFormat="1" ht="16" customHeight="1" x14ac:dyDescent="0.3">
      <c r="A31" s="128">
        <v>0</v>
      </c>
      <c r="B31" s="24">
        <v>0.95099999999999996</v>
      </c>
      <c r="C31" s="26">
        <v>0.94699999999999995</v>
      </c>
      <c r="D31" s="26">
        <v>0.94399999999999995</v>
      </c>
      <c r="E31" s="26">
        <v>1.0589999999999999</v>
      </c>
      <c r="F31" s="26">
        <v>0.999</v>
      </c>
      <c r="G31" s="26">
        <v>1.0069999999999999</v>
      </c>
      <c r="H31" s="26">
        <v>1.0069999999999999</v>
      </c>
      <c r="I31" s="26">
        <v>1.1579999999999999</v>
      </c>
      <c r="J31" s="26">
        <v>1.2689999999999999</v>
      </c>
      <c r="K31" s="26">
        <v>1.3779999999999999</v>
      </c>
      <c r="L31" s="26">
        <v>1.784</v>
      </c>
      <c r="M31" s="26">
        <v>1.784</v>
      </c>
      <c r="N31" s="26">
        <v>1.704</v>
      </c>
      <c r="O31" s="26">
        <v>1.089</v>
      </c>
      <c r="P31" s="26">
        <v>1.157</v>
      </c>
      <c r="Q31" s="26">
        <v>1.181</v>
      </c>
      <c r="R31" s="26">
        <v>0.95399999999999996</v>
      </c>
      <c r="S31" s="26">
        <v>1.0369999999999999</v>
      </c>
      <c r="T31" s="26">
        <v>1.008</v>
      </c>
      <c r="U31" s="127">
        <v>1.0780000000000001</v>
      </c>
      <c r="V31" s="127">
        <v>1.02</v>
      </c>
      <c r="W31" s="127">
        <v>1</v>
      </c>
      <c r="X31" s="127">
        <v>1.012</v>
      </c>
      <c r="Y31" s="127">
        <v>1.069</v>
      </c>
      <c r="Z31" s="127">
        <v>1.004</v>
      </c>
      <c r="AA31" s="127">
        <v>1.056</v>
      </c>
      <c r="AB31" s="127">
        <v>1.0429999999999999</v>
      </c>
      <c r="AC31" s="127">
        <v>1.0209999999999999</v>
      </c>
      <c r="AD31" s="127">
        <v>1.0109999999999999</v>
      </c>
      <c r="AE31" s="127">
        <v>1.08</v>
      </c>
      <c r="AF31" s="127">
        <v>0.98299999999999998</v>
      </c>
      <c r="AG31" s="127">
        <v>1.1839999999999999</v>
      </c>
      <c r="AH31" s="127">
        <v>1.1399999999999999</v>
      </c>
      <c r="AI31" s="127">
        <v>1.099</v>
      </c>
      <c r="AJ31" s="127">
        <v>1.631</v>
      </c>
      <c r="AK31" s="127">
        <v>1.7250000000000001</v>
      </c>
      <c r="AL31" s="127">
        <v>1.7410000000000001</v>
      </c>
      <c r="AM31" s="127">
        <v>1.5149999999999999</v>
      </c>
      <c r="AN31" s="127">
        <v>1.3819999999999999</v>
      </c>
      <c r="AO31" s="127">
        <v>1.9610000000000001</v>
      </c>
      <c r="AP31" s="127">
        <v>1.036</v>
      </c>
      <c r="AQ31" s="127">
        <v>0.89400000000000002</v>
      </c>
      <c r="AR31" s="127">
        <v>0.88</v>
      </c>
      <c r="AS31" s="127">
        <v>0.626</v>
      </c>
      <c r="AT31" s="127">
        <v>0.57499999999999996</v>
      </c>
      <c r="AU31" s="127">
        <v>0.53600000000000003</v>
      </c>
      <c r="AV31" s="126">
        <v>0.497</v>
      </c>
    </row>
    <row r="32" spans="1:49" s="51" customFormat="1" ht="16" customHeight="1" x14ac:dyDescent="0.3">
      <c r="A32" s="123">
        <v>0.06</v>
      </c>
      <c r="B32" s="28">
        <v>0.95099999999999996</v>
      </c>
      <c r="C32" s="30">
        <v>0.94699999999999995</v>
      </c>
      <c r="D32" s="30">
        <v>0.94399999999999995</v>
      </c>
      <c r="E32" s="30">
        <v>1.0589999999999999</v>
      </c>
      <c r="F32" s="30">
        <v>0.999</v>
      </c>
      <c r="G32" s="30">
        <v>1.0069999999999999</v>
      </c>
      <c r="H32" s="30">
        <v>1.0069999999999999</v>
      </c>
      <c r="I32" s="30">
        <v>1.1579999999999999</v>
      </c>
      <c r="J32" s="30">
        <v>1.2689999999999999</v>
      </c>
      <c r="K32" s="30">
        <v>1.3779999999999999</v>
      </c>
      <c r="L32" s="30">
        <v>1.784</v>
      </c>
      <c r="M32" s="30">
        <v>1.784</v>
      </c>
      <c r="N32" s="30">
        <v>1.704</v>
      </c>
      <c r="O32" s="30">
        <v>1.089</v>
      </c>
      <c r="P32" s="30">
        <v>1.157</v>
      </c>
      <c r="Q32" s="30">
        <v>1.181</v>
      </c>
      <c r="R32" s="30">
        <v>0.95399999999999996</v>
      </c>
      <c r="S32" s="30">
        <v>1.0369999999999999</v>
      </c>
      <c r="T32" s="30">
        <v>1.008</v>
      </c>
      <c r="U32" s="122">
        <v>1.0780000000000001</v>
      </c>
      <c r="V32" s="122">
        <v>1.02</v>
      </c>
      <c r="W32" s="122">
        <v>1</v>
      </c>
      <c r="X32" s="122">
        <v>1.012</v>
      </c>
      <c r="Y32" s="122">
        <v>1.069</v>
      </c>
      <c r="Z32" s="122">
        <v>1.004</v>
      </c>
      <c r="AA32" s="122">
        <v>1.056</v>
      </c>
      <c r="AB32" s="122">
        <v>1.0429999999999999</v>
      </c>
      <c r="AC32" s="122">
        <v>1.0209999999999999</v>
      </c>
      <c r="AD32" s="122">
        <v>1.0109999999999999</v>
      </c>
      <c r="AE32" s="122">
        <v>1.08</v>
      </c>
      <c r="AF32" s="122">
        <v>0.98299999999999998</v>
      </c>
      <c r="AG32" s="122">
        <v>1.1839999999999999</v>
      </c>
      <c r="AH32" s="122">
        <v>1.1399999999999999</v>
      </c>
      <c r="AI32" s="122">
        <v>1.099</v>
      </c>
      <c r="AJ32" s="122">
        <v>1.631</v>
      </c>
      <c r="AK32" s="122">
        <v>1.7250000000000001</v>
      </c>
      <c r="AL32" s="122">
        <v>1.7410000000000001</v>
      </c>
      <c r="AM32" s="122">
        <v>1.5149999999999999</v>
      </c>
      <c r="AN32" s="122">
        <v>1.3819999999999999</v>
      </c>
      <c r="AO32" s="122">
        <v>1.9610000000000001</v>
      </c>
      <c r="AP32" s="122">
        <v>1.036</v>
      </c>
      <c r="AQ32" s="122">
        <v>0.89400000000000002</v>
      </c>
      <c r="AR32" s="122">
        <v>0.88</v>
      </c>
      <c r="AS32" s="122">
        <v>0.626</v>
      </c>
      <c r="AT32" s="122">
        <v>0.57499999999999996</v>
      </c>
      <c r="AU32" s="122">
        <v>0.53600000000000003</v>
      </c>
      <c r="AV32" s="121">
        <v>0.497</v>
      </c>
    </row>
    <row r="33" spans="1:48" s="51" customFormat="1" ht="16" customHeight="1" x14ac:dyDescent="0.3">
      <c r="A33" s="123">
        <v>0.08</v>
      </c>
      <c r="B33" s="28">
        <v>0.93400000000000005</v>
      </c>
      <c r="C33" s="30">
        <v>0.93</v>
      </c>
      <c r="D33" s="30">
        <v>0.92700000000000005</v>
      </c>
      <c r="E33" s="30">
        <v>1.0329999999999999</v>
      </c>
      <c r="F33" s="30">
        <v>0.98</v>
      </c>
      <c r="G33" s="30">
        <v>0.98899999999999999</v>
      </c>
      <c r="H33" s="30">
        <v>0.99099999999999999</v>
      </c>
      <c r="I33" s="30">
        <v>1.129</v>
      </c>
      <c r="J33" s="30">
        <v>1.23</v>
      </c>
      <c r="K33" s="30">
        <v>1.33</v>
      </c>
      <c r="L33" s="30">
        <v>1.6779999999999999</v>
      </c>
      <c r="M33" s="30">
        <v>1.679</v>
      </c>
      <c r="N33" s="30">
        <v>1.61</v>
      </c>
      <c r="O33" s="30">
        <v>1.119</v>
      </c>
      <c r="P33" s="30">
        <v>1.167</v>
      </c>
      <c r="Q33" s="30">
        <v>1.1759999999999999</v>
      </c>
      <c r="R33" s="30">
        <v>1.0529999999999999</v>
      </c>
      <c r="S33" s="30">
        <v>1.071</v>
      </c>
      <c r="T33" s="30">
        <v>1.0409999999999999</v>
      </c>
      <c r="U33" s="122">
        <v>1.0229999999999999</v>
      </c>
      <c r="V33" s="122">
        <v>1.0049999999999999</v>
      </c>
      <c r="W33" s="122">
        <v>1</v>
      </c>
      <c r="X33" s="122">
        <v>1.002</v>
      </c>
      <c r="Y33" s="122">
        <v>1.0289999999999999</v>
      </c>
      <c r="Z33" s="122">
        <v>1.0489999999999999</v>
      </c>
      <c r="AA33" s="122">
        <v>1.08</v>
      </c>
      <c r="AB33" s="122">
        <v>1.077</v>
      </c>
      <c r="AC33" s="122">
        <v>1.0780000000000001</v>
      </c>
      <c r="AD33" s="122">
        <v>1.075</v>
      </c>
      <c r="AE33" s="122">
        <v>1.113</v>
      </c>
      <c r="AF33" s="122">
        <v>1.0680000000000001</v>
      </c>
      <c r="AG33" s="122">
        <v>1.1759999999999999</v>
      </c>
      <c r="AH33" s="122">
        <v>1.155</v>
      </c>
      <c r="AI33" s="122">
        <v>1.1279999999999999</v>
      </c>
      <c r="AJ33" s="122">
        <v>1.554</v>
      </c>
      <c r="AK33" s="122">
        <v>1.6359999999999999</v>
      </c>
      <c r="AL33" s="122">
        <v>1.649</v>
      </c>
      <c r="AM33" s="122">
        <v>1.452</v>
      </c>
      <c r="AN33" s="122">
        <v>1.331</v>
      </c>
      <c r="AO33" s="122">
        <v>1.845</v>
      </c>
      <c r="AP33" s="122">
        <v>1.016</v>
      </c>
      <c r="AQ33" s="122">
        <v>0.88400000000000001</v>
      </c>
      <c r="AR33" s="122">
        <v>0.87</v>
      </c>
      <c r="AS33" s="122">
        <v>0.627</v>
      </c>
      <c r="AT33" s="122">
        <v>0.57499999999999996</v>
      </c>
      <c r="AU33" s="122">
        <v>0.53700000000000003</v>
      </c>
      <c r="AV33" s="121">
        <v>0.498</v>
      </c>
    </row>
    <row r="34" spans="1:48" s="51" customFormat="1" ht="16" customHeight="1" x14ac:dyDescent="0.3">
      <c r="A34" s="123">
        <v>0.1</v>
      </c>
      <c r="B34" s="28">
        <v>0.91700000000000004</v>
      </c>
      <c r="C34" s="30">
        <v>0.91400000000000003</v>
      </c>
      <c r="D34" s="30">
        <v>0.91</v>
      </c>
      <c r="E34" s="30">
        <v>1.008</v>
      </c>
      <c r="F34" s="30">
        <v>0.96099999999999997</v>
      </c>
      <c r="G34" s="30">
        <v>0.97099999999999997</v>
      </c>
      <c r="H34" s="30">
        <v>0.97499999999999998</v>
      </c>
      <c r="I34" s="30">
        <v>1.1000000000000001</v>
      </c>
      <c r="J34" s="30">
        <v>1.1919999999999999</v>
      </c>
      <c r="K34" s="30">
        <v>1.2809999999999999</v>
      </c>
      <c r="L34" s="30">
        <v>1.5720000000000001</v>
      </c>
      <c r="M34" s="30">
        <v>1.575</v>
      </c>
      <c r="N34" s="30">
        <v>1.516</v>
      </c>
      <c r="O34" s="30">
        <v>1.149</v>
      </c>
      <c r="P34" s="30">
        <v>1.1779999999999999</v>
      </c>
      <c r="Q34" s="30">
        <v>1.17</v>
      </c>
      <c r="R34" s="30">
        <v>1.1519999999999999</v>
      </c>
      <c r="S34" s="30">
        <v>1.1040000000000001</v>
      </c>
      <c r="T34" s="30">
        <v>1.0620000000000001</v>
      </c>
      <c r="U34" s="122">
        <v>1.026</v>
      </c>
      <c r="V34" s="122">
        <v>1.0069999999999999</v>
      </c>
      <c r="W34" s="122">
        <v>1</v>
      </c>
      <c r="X34" s="122">
        <v>1.008</v>
      </c>
      <c r="Y34" s="122">
        <v>1.0249999999999999</v>
      </c>
      <c r="Z34" s="122">
        <v>1.06</v>
      </c>
      <c r="AA34" s="122">
        <v>1.105</v>
      </c>
      <c r="AB34" s="122">
        <v>1.111</v>
      </c>
      <c r="AC34" s="122">
        <v>1.135</v>
      </c>
      <c r="AD34" s="122">
        <v>1.1379999999999999</v>
      </c>
      <c r="AE34" s="122">
        <v>1.1459999999999999</v>
      </c>
      <c r="AF34" s="122">
        <v>1.153</v>
      </c>
      <c r="AG34" s="122">
        <v>1.169</v>
      </c>
      <c r="AH34" s="122">
        <v>1.169</v>
      </c>
      <c r="AI34" s="122">
        <v>1.1579999999999999</v>
      </c>
      <c r="AJ34" s="122">
        <v>1.4770000000000001</v>
      </c>
      <c r="AK34" s="122">
        <v>1.5469999999999999</v>
      </c>
      <c r="AL34" s="122">
        <v>1.5580000000000001</v>
      </c>
      <c r="AM34" s="122">
        <v>1.389</v>
      </c>
      <c r="AN34" s="122">
        <v>1.28</v>
      </c>
      <c r="AO34" s="122">
        <v>1.7290000000000001</v>
      </c>
      <c r="AP34" s="122">
        <v>0.996</v>
      </c>
      <c r="AQ34" s="122">
        <v>0.874</v>
      </c>
      <c r="AR34" s="122">
        <v>0.86</v>
      </c>
      <c r="AS34" s="122">
        <v>0.627</v>
      </c>
      <c r="AT34" s="122">
        <v>0.57599999999999996</v>
      </c>
      <c r="AU34" s="122">
        <v>0.53700000000000003</v>
      </c>
      <c r="AV34" s="121">
        <v>0.499</v>
      </c>
    </row>
    <row r="35" spans="1:48" s="51" customFormat="1" ht="16" customHeight="1" x14ac:dyDescent="0.3">
      <c r="A35" s="123">
        <v>0.15</v>
      </c>
      <c r="B35" s="28">
        <v>0.874</v>
      </c>
      <c r="C35" s="30">
        <v>0.871</v>
      </c>
      <c r="D35" s="30">
        <v>0.86899999999999999</v>
      </c>
      <c r="E35" s="30">
        <v>0.94399999999999995</v>
      </c>
      <c r="F35" s="30">
        <v>0.91400000000000003</v>
      </c>
      <c r="G35" s="30">
        <v>0.92700000000000005</v>
      </c>
      <c r="H35" s="30">
        <v>0.93600000000000005</v>
      </c>
      <c r="I35" s="30">
        <v>1.0269999999999999</v>
      </c>
      <c r="J35" s="30">
        <v>1.0940000000000001</v>
      </c>
      <c r="K35" s="30">
        <v>1.159</v>
      </c>
      <c r="L35" s="30">
        <v>1.306</v>
      </c>
      <c r="M35" s="30">
        <v>1.3129999999999999</v>
      </c>
      <c r="N35" s="30">
        <v>1.2809999999999999</v>
      </c>
      <c r="O35" s="30">
        <v>1.2250000000000001</v>
      </c>
      <c r="P35" s="30">
        <v>1.2030000000000001</v>
      </c>
      <c r="Q35" s="30">
        <v>1.1559999999999999</v>
      </c>
      <c r="R35" s="30">
        <v>1.109</v>
      </c>
      <c r="S35" s="30">
        <v>1.0469999999999999</v>
      </c>
      <c r="T35" s="30">
        <v>1.0129999999999999</v>
      </c>
      <c r="U35" s="122">
        <v>1.0009999999999999</v>
      </c>
      <c r="V35" s="122">
        <v>1</v>
      </c>
      <c r="W35" s="122">
        <v>1</v>
      </c>
      <c r="X35" s="122">
        <v>0.996</v>
      </c>
      <c r="Y35" s="122">
        <v>1.006</v>
      </c>
      <c r="Z35" s="122">
        <v>1.02</v>
      </c>
      <c r="AA35" s="122">
        <v>1.0469999999999999</v>
      </c>
      <c r="AB35" s="122">
        <v>1.0580000000000001</v>
      </c>
      <c r="AC35" s="122">
        <v>1.0680000000000001</v>
      </c>
      <c r="AD35" s="122">
        <v>1.0760000000000001</v>
      </c>
      <c r="AE35" s="122">
        <v>1.0980000000000001</v>
      </c>
      <c r="AF35" s="122">
        <v>1.113</v>
      </c>
      <c r="AG35" s="122">
        <v>1.151</v>
      </c>
      <c r="AH35" s="122">
        <v>1.204</v>
      </c>
      <c r="AI35" s="122">
        <v>1.232</v>
      </c>
      <c r="AJ35" s="122">
        <v>1.2849999999999999</v>
      </c>
      <c r="AK35" s="122">
        <v>1.3240000000000001</v>
      </c>
      <c r="AL35" s="122">
        <v>1.329</v>
      </c>
      <c r="AM35" s="122">
        <v>1.23</v>
      </c>
      <c r="AN35" s="122">
        <v>1.153</v>
      </c>
      <c r="AO35" s="122">
        <v>1.4390000000000001</v>
      </c>
      <c r="AP35" s="122">
        <v>0.94599999999999995</v>
      </c>
      <c r="AQ35" s="122">
        <v>0.85</v>
      </c>
      <c r="AR35" s="122">
        <v>0.83499999999999996</v>
      </c>
      <c r="AS35" s="122">
        <v>0.628</v>
      </c>
      <c r="AT35" s="122">
        <v>0.57699999999999996</v>
      </c>
      <c r="AU35" s="122">
        <v>0.53900000000000003</v>
      </c>
      <c r="AV35" s="121">
        <v>0.5</v>
      </c>
    </row>
    <row r="36" spans="1:48" s="51" customFormat="1" ht="16" customHeight="1" x14ac:dyDescent="0.3">
      <c r="A36" s="123">
        <v>0.2</v>
      </c>
      <c r="B36" s="28">
        <v>0.83099999999999996</v>
      </c>
      <c r="C36" s="30">
        <v>0.82899999999999996</v>
      </c>
      <c r="D36" s="30">
        <v>0.82699999999999996</v>
      </c>
      <c r="E36" s="30">
        <v>0.88100000000000001</v>
      </c>
      <c r="F36" s="30">
        <v>0.86599999999999999</v>
      </c>
      <c r="G36" s="30">
        <v>0.88200000000000001</v>
      </c>
      <c r="H36" s="30">
        <v>0.89700000000000002</v>
      </c>
      <c r="I36" s="30">
        <v>0.95399999999999996</v>
      </c>
      <c r="J36" s="30">
        <v>0.997</v>
      </c>
      <c r="K36" s="30">
        <v>1.0369999999999999</v>
      </c>
      <c r="L36" s="30">
        <v>1.0409999999999999</v>
      </c>
      <c r="M36" s="30">
        <v>1.05</v>
      </c>
      <c r="N36" s="30">
        <v>1.046</v>
      </c>
      <c r="O36" s="30">
        <v>1.0489999999999999</v>
      </c>
      <c r="P36" s="30">
        <v>1.0389999999999999</v>
      </c>
      <c r="Q36" s="30">
        <v>1.0229999999999999</v>
      </c>
      <c r="R36" s="30">
        <v>1.016</v>
      </c>
      <c r="S36" s="30">
        <v>0.999</v>
      </c>
      <c r="T36" s="30">
        <v>0.998</v>
      </c>
      <c r="U36" s="122">
        <v>0.997</v>
      </c>
      <c r="V36" s="122">
        <v>1.002</v>
      </c>
      <c r="W36" s="122">
        <v>1</v>
      </c>
      <c r="X36" s="122">
        <v>0.995</v>
      </c>
      <c r="Y36" s="122">
        <v>0.99399999999999999</v>
      </c>
      <c r="Z36" s="122">
        <v>0.999</v>
      </c>
      <c r="AA36" s="122">
        <v>1.0029999999999999</v>
      </c>
      <c r="AB36" s="122">
        <v>1.002</v>
      </c>
      <c r="AC36" s="122">
        <v>1.0069999999999999</v>
      </c>
      <c r="AD36" s="122">
        <v>1.014</v>
      </c>
      <c r="AE36" s="122">
        <v>1.016</v>
      </c>
      <c r="AF36" s="122">
        <v>1.02</v>
      </c>
      <c r="AG36" s="122">
        <v>1.0329999999999999</v>
      </c>
      <c r="AH36" s="122">
        <v>1.0309999999999999</v>
      </c>
      <c r="AI36" s="122">
        <v>1.052</v>
      </c>
      <c r="AJ36" s="122">
        <v>1.093</v>
      </c>
      <c r="AK36" s="122">
        <v>1.101</v>
      </c>
      <c r="AL36" s="122">
        <v>1.099</v>
      </c>
      <c r="AM36" s="122">
        <v>1.0720000000000001</v>
      </c>
      <c r="AN36" s="122">
        <v>1.0249999999999999</v>
      </c>
      <c r="AO36" s="122">
        <v>1.1499999999999999</v>
      </c>
      <c r="AP36" s="122">
        <v>0.89500000000000002</v>
      </c>
      <c r="AQ36" s="122">
        <v>0.82499999999999996</v>
      </c>
      <c r="AR36" s="122">
        <v>0.81</v>
      </c>
      <c r="AS36" s="122">
        <v>0.629</v>
      </c>
      <c r="AT36" s="122">
        <v>0.57899999999999996</v>
      </c>
      <c r="AU36" s="122">
        <v>0.54</v>
      </c>
      <c r="AV36" s="121">
        <v>0.502</v>
      </c>
    </row>
    <row r="37" spans="1:48" s="51" customFormat="1" ht="16" customHeight="1" x14ac:dyDescent="0.3">
      <c r="A37" s="123">
        <v>0.25</v>
      </c>
      <c r="B37" s="28">
        <v>0.78700000000000003</v>
      </c>
      <c r="C37" s="30">
        <v>0.78600000000000003</v>
      </c>
      <c r="D37" s="30">
        <v>0.78500000000000003</v>
      </c>
      <c r="E37" s="30">
        <v>0.81699999999999995</v>
      </c>
      <c r="F37" s="30">
        <v>0.81899999999999995</v>
      </c>
      <c r="G37" s="30">
        <v>0.83699999999999997</v>
      </c>
      <c r="H37" s="30">
        <v>0.85799999999999998</v>
      </c>
      <c r="I37" s="30">
        <v>0.88100000000000001</v>
      </c>
      <c r="J37" s="30">
        <v>0.9</v>
      </c>
      <c r="K37" s="30">
        <v>0.91500000000000004</v>
      </c>
      <c r="L37" s="30">
        <v>0.93300000000000005</v>
      </c>
      <c r="M37" s="30">
        <v>0.94199999999999995</v>
      </c>
      <c r="N37" s="30">
        <v>0.95299999999999996</v>
      </c>
      <c r="O37" s="30">
        <v>0.96099999999999997</v>
      </c>
      <c r="P37" s="30">
        <v>0.96599999999999997</v>
      </c>
      <c r="Q37" s="30">
        <v>0.97099999999999997</v>
      </c>
      <c r="R37" s="30">
        <v>0.97399999999999998</v>
      </c>
      <c r="S37" s="30">
        <v>0.98099999999999998</v>
      </c>
      <c r="T37" s="30">
        <v>0.99299999999999999</v>
      </c>
      <c r="U37" s="122">
        <v>0.996</v>
      </c>
      <c r="V37" s="122">
        <v>1.0029999999999999</v>
      </c>
      <c r="W37" s="122">
        <v>1</v>
      </c>
      <c r="X37" s="122">
        <v>0.999</v>
      </c>
      <c r="Y37" s="122">
        <v>0.996</v>
      </c>
      <c r="Z37" s="122">
        <v>0.99199999999999999</v>
      </c>
      <c r="AA37" s="122">
        <v>0.98499999999999999</v>
      </c>
      <c r="AB37" s="122">
        <v>0.98199999999999998</v>
      </c>
      <c r="AC37" s="122">
        <v>0.98199999999999998</v>
      </c>
      <c r="AD37" s="122">
        <v>0.97899999999999998</v>
      </c>
      <c r="AE37" s="122">
        <v>0.97699999999999998</v>
      </c>
      <c r="AF37" s="122">
        <v>0.98199999999999998</v>
      </c>
      <c r="AG37" s="122">
        <v>0.97799999999999998</v>
      </c>
      <c r="AH37" s="122">
        <v>0.97599999999999998</v>
      </c>
      <c r="AI37" s="122">
        <v>0.96699999999999997</v>
      </c>
      <c r="AJ37" s="122">
        <v>0.95899999999999996</v>
      </c>
      <c r="AK37" s="122">
        <v>0.94699999999999995</v>
      </c>
      <c r="AL37" s="122">
        <v>0.93700000000000006</v>
      </c>
      <c r="AM37" s="122">
        <v>0.91400000000000003</v>
      </c>
      <c r="AN37" s="122">
        <v>0.89800000000000002</v>
      </c>
      <c r="AO37" s="122">
        <v>0.86</v>
      </c>
      <c r="AP37" s="122">
        <v>0.84499999999999997</v>
      </c>
      <c r="AQ37" s="122">
        <v>0.80100000000000005</v>
      </c>
      <c r="AR37" s="122">
        <v>0.78600000000000003</v>
      </c>
      <c r="AS37" s="122">
        <v>0.63</v>
      </c>
      <c r="AT37" s="122">
        <v>0.57999999999999996</v>
      </c>
      <c r="AU37" s="122">
        <v>0.54200000000000004</v>
      </c>
      <c r="AV37" s="121">
        <v>0.503</v>
      </c>
    </row>
    <row r="38" spans="1:48" s="51" customFormat="1" ht="16" customHeight="1" x14ac:dyDescent="0.3">
      <c r="A38" s="123">
        <v>0.3</v>
      </c>
      <c r="B38" s="28">
        <v>0.74399999999999999</v>
      </c>
      <c r="C38" s="30">
        <v>0.74399999999999999</v>
      </c>
      <c r="D38" s="30">
        <v>0.74399999999999999</v>
      </c>
      <c r="E38" s="30">
        <v>0.754</v>
      </c>
      <c r="F38" s="30">
        <v>0.77200000000000002</v>
      </c>
      <c r="G38" s="30">
        <v>0.79300000000000004</v>
      </c>
      <c r="H38" s="30">
        <v>0.81899999999999995</v>
      </c>
      <c r="I38" s="30">
        <v>0.83</v>
      </c>
      <c r="J38" s="30">
        <v>0.85099999999999998</v>
      </c>
      <c r="K38" s="30">
        <v>0.86699999999999999</v>
      </c>
      <c r="L38" s="30">
        <v>0.88500000000000001</v>
      </c>
      <c r="M38" s="30">
        <v>0.89300000000000002</v>
      </c>
      <c r="N38" s="30">
        <v>0.92</v>
      </c>
      <c r="O38" s="30">
        <v>0.93200000000000005</v>
      </c>
      <c r="P38" s="30">
        <v>0.93899999999999995</v>
      </c>
      <c r="Q38" s="30">
        <v>0.94899999999999995</v>
      </c>
      <c r="R38" s="30">
        <v>0.96099999999999997</v>
      </c>
      <c r="S38" s="30">
        <v>0.97599999999999998</v>
      </c>
      <c r="T38" s="30">
        <v>0.98699999999999999</v>
      </c>
      <c r="U38" s="122">
        <v>0.995</v>
      </c>
      <c r="V38" s="122">
        <v>0.998</v>
      </c>
      <c r="W38" s="122">
        <v>1</v>
      </c>
      <c r="X38" s="122">
        <v>0.999</v>
      </c>
      <c r="Y38" s="122">
        <v>0.995</v>
      </c>
      <c r="Z38" s="122">
        <v>0.98799999999999999</v>
      </c>
      <c r="AA38" s="122">
        <v>0.97599999999999998</v>
      </c>
      <c r="AB38" s="122">
        <v>0.97399999999999998</v>
      </c>
      <c r="AC38" s="122">
        <v>0.97099999999999997</v>
      </c>
      <c r="AD38" s="122">
        <v>0.96699999999999997</v>
      </c>
      <c r="AE38" s="122">
        <v>0.96299999999999997</v>
      </c>
      <c r="AF38" s="122">
        <v>0.96099999999999997</v>
      </c>
      <c r="AG38" s="122">
        <v>0.95099999999999996</v>
      </c>
      <c r="AH38" s="122">
        <v>0.94199999999999995</v>
      </c>
      <c r="AI38" s="122">
        <v>0.93</v>
      </c>
      <c r="AJ38" s="122">
        <v>0.91400000000000003</v>
      </c>
      <c r="AK38" s="122">
        <v>0.89600000000000002</v>
      </c>
      <c r="AL38" s="122">
        <v>0.88</v>
      </c>
      <c r="AM38" s="122">
        <v>0.86199999999999999</v>
      </c>
      <c r="AN38" s="122">
        <v>0.84299999999999997</v>
      </c>
      <c r="AO38" s="122">
        <v>0.81899999999999995</v>
      </c>
      <c r="AP38" s="122">
        <v>0.79400000000000004</v>
      </c>
      <c r="AQ38" s="122">
        <v>0.77600000000000002</v>
      </c>
      <c r="AR38" s="122">
        <v>0.76100000000000001</v>
      </c>
      <c r="AS38" s="122">
        <v>0.63100000000000001</v>
      </c>
      <c r="AT38" s="122">
        <v>0.58199999999999996</v>
      </c>
      <c r="AU38" s="122">
        <v>0.54300000000000004</v>
      </c>
      <c r="AV38" s="121">
        <v>0.504</v>
      </c>
    </row>
    <row r="39" spans="1:48" s="51" customFormat="1" ht="16" customHeight="1" x14ac:dyDescent="0.3">
      <c r="A39" s="123">
        <v>0.35</v>
      </c>
      <c r="B39" s="28">
        <v>0.71399999999999997</v>
      </c>
      <c r="C39" s="30">
        <v>0.71399999999999997</v>
      </c>
      <c r="D39" s="30">
        <v>0.71399999999999997</v>
      </c>
      <c r="E39" s="30">
        <v>0.72099999999999997</v>
      </c>
      <c r="F39" s="30">
        <v>0.74399999999999999</v>
      </c>
      <c r="G39" s="30">
        <v>0.76600000000000001</v>
      </c>
      <c r="H39" s="30">
        <v>0.79100000000000004</v>
      </c>
      <c r="I39" s="30">
        <v>0.81100000000000005</v>
      </c>
      <c r="J39" s="30">
        <v>0.83199999999999996</v>
      </c>
      <c r="K39" s="30">
        <v>0.85</v>
      </c>
      <c r="L39" s="30">
        <v>0.86799999999999999</v>
      </c>
      <c r="M39" s="30">
        <v>0.88100000000000001</v>
      </c>
      <c r="N39" s="30">
        <v>0.90600000000000003</v>
      </c>
      <c r="O39" s="30">
        <v>0.92300000000000004</v>
      </c>
      <c r="P39" s="30">
        <v>0.93100000000000005</v>
      </c>
      <c r="Q39" s="30">
        <v>0.94399999999999995</v>
      </c>
      <c r="R39" s="30">
        <v>0.95499999999999996</v>
      </c>
      <c r="S39" s="30">
        <v>0.97399999999999998</v>
      </c>
      <c r="T39" s="30">
        <v>0.98599999999999999</v>
      </c>
      <c r="U39" s="122">
        <v>0.99399999999999999</v>
      </c>
      <c r="V39" s="122">
        <v>0.998</v>
      </c>
      <c r="W39" s="122">
        <v>1</v>
      </c>
      <c r="X39" s="122">
        <v>0.999</v>
      </c>
      <c r="Y39" s="122">
        <v>0.99399999999999999</v>
      </c>
      <c r="Z39" s="122">
        <v>0.98599999999999999</v>
      </c>
      <c r="AA39" s="122">
        <v>0.97499999999999998</v>
      </c>
      <c r="AB39" s="122">
        <v>0.97199999999999998</v>
      </c>
      <c r="AC39" s="122">
        <v>0.96799999999999997</v>
      </c>
      <c r="AD39" s="122">
        <v>0.96399999999999997</v>
      </c>
      <c r="AE39" s="122">
        <v>0.96099999999999997</v>
      </c>
      <c r="AF39" s="122">
        <v>0.95599999999999996</v>
      </c>
      <c r="AG39" s="122">
        <v>0.94499999999999995</v>
      </c>
      <c r="AH39" s="122">
        <v>0.93200000000000005</v>
      </c>
      <c r="AI39" s="122">
        <v>0.92300000000000004</v>
      </c>
      <c r="AJ39" s="122">
        <v>0.90400000000000003</v>
      </c>
      <c r="AK39" s="122">
        <v>0.879</v>
      </c>
      <c r="AL39" s="122">
        <v>0.86299999999999999</v>
      </c>
      <c r="AM39" s="122">
        <v>0.84599999999999997</v>
      </c>
      <c r="AN39" s="122">
        <v>0.82599999999999996</v>
      </c>
      <c r="AO39" s="122">
        <v>0.80400000000000005</v>
      </c>
      <c r="AP39" s="122">
        <v>0.77900000000000003</v>
      </c>
      <c r="AQ39" s="122">
        <v>0.752</v>
      </c>
      <c r="AR39" s="122">
        <v>0.73599999999999999</v>
      </c>
      <c r="AS39" s="122">
        <v>0.63200000000000001</v>
      </c>
      <c r="AT39" s="122">
        <v>0.58299999999999996</v>
      </c>
      <c r="AU39" s="122">
        <v>0.54500000000000004</v>
      </c>
      <c r="AV39" s="121">
        <v>0.50600000000000001</v>
      </c>
    </row>
    <row r="40" spans="1:48" s="51" customFormat="1" ht="16" customHeight="1" x14ac:dyDescent="0.3">
      <c r="A40" s="123">
        <v>0.4</v>
      </c>
      <c r="B40" s="28">
        <v>0.69199999999999995</v>
      </c>
      <c r="C40" s="30">
        <v>0.69299999999999995</v>
      </c>
      <c r="D40" s="30">
        <v>0.69399999999999995</v>
      </c>
      <c r="E40" s="30">
        <v>0.70699999999999996</v>
      </c>
      <c r="F40" s="30">
        <v>0.73</v>
      </c>
      <c r="G40" s="30">
        <v>0.755</v>
      </c>
      <c r="H40" s="30">
        <v>0.78</v>
      </c>
      <c r="I40" s="30">
        <v>0.80400000000000005</v>
      </c>
      <c r="J40" s="30">
        <v>0.82499999999999996</v>
      </c>
      <c r="K40" s="30">
        <v>0.84399999999999997</v>
      </c>
      <c r="L40" s="30">
        <v>0.86099999999999999</v>
      </c>
      <c r="M40" s="30">
        <v>0.875</v>
      </c>
      <c r="N40" s="30">
        <v>0.9</v>
      </c>
      <c r="O40" s="30">
        <v>0.91900000000000004</v>
      </c>
      <c r="P40" s="30">
        <v>0.92700000000000005</v>
      </c>
      <c r="Q40" s="30">
        <v>0.94099999999999995</v>
      </c>
      <c r="R40" s="30">
        <v>0.95299999999999996</v>
      </c>
      <c r="S40" s="30">
        <v>0.97299999999999998</v>
      </c>
      <c r="T40" s="30">
        <v>0.98499999999999999</v>
      </c>
      <c r="U40" s="122">
        <v>0.99399999999999999</v>
      </c>
      <c r="V40" s="122">
        <v>0.998</v>
      </c>
      <c r="W40" s="122">
        <v>1</v>
      </c>
      <c r="X40" s="122">
        <v>0.999</v>
      </c>
      <c r="Y40" s="122">
        <v>0.99399999999999999</v>
      </c>
      <c r="Z40" s="122">
        <v>0.98599999999999999</v>
      </c>
      <c r="AA40" s="122">
        <v>0.97399999999999998</v>
      </c>
      <c r="AB40" s="122">
        <v>0.97</v>
      </c>
      <c r="AC40" s="122">
        <v>0.96699999999999997</v>
      </c>
      <c r="AD40" s="122">
        <v>0.96299999999999997</v>
      </c>
      <c r="AE40" s="122">
        <v>0.95799999999999996</v>
      </c>
      <c r="AF40" s="122">
        <v>0.95399999999999996</v>
      </c>
      <c r="AG40" s="122">
        <v>0.94199999999999995</v>
      </c>
      <c r="AH40" s="122">
        <v>0.92800000000000005</v>
      </c>
      <c r="AI40" s="122">
        <v>0.92</v>
      </c>
      <c r="AJ40" s="122">
        <v>0.89900000000000002</v>
      </c>
      <c r="AK40" s="122">
        <v>0.873</v>
      </c>
      <c r="AL40" s="122">
        <v>0.85799999999999998</v>
      </c>
      <c r="AM40" s="122">
        <v>0.84</v>
      </c>
      <c r="AN40" s="122">
        <v>0.82</v>
      </c>
      <c r="AO40" s="122">
        <v>0.79700000000000004</v>
      </c>
      <c r="AP40" s="122">
        <v>0.77</v>
      </c>
      <c r="AQ40" s="122">
        <v>0.74099999999999999</v>
      </c>
      <c r="AR40" s="122">
        <v>0.71099999999999997</v>
      </c>
      <c r="AS40" s="122">
        <v>0.63300000000000001</v>
      </c>
      <c r="AT40" s="122">
        <v>0.58499999999999996</v>
      </c>
      <c r="AU40" s="122">
        <v>0.54600000000000004</v>
      </c>
      <c r="AV40" s="121">
        <v>0.50700000000000001</v>
      </c>
    </row>
    <row r="41" spans="1:48" s="51" customFormat="1" ht="16" customHeight="1" x14ac:dyDescent="0.3">
      <c r="A41" s="123">
        <v>0.75</v>
      </c>
      <c r="B41" s="28">
        <v>0.61899999999999999</v>
      </c>
      <c r="C41" s="30">
        <v>0.63900000000000001</v>
      </c>
      <c r="D41" s="30">
        <v>0.65900000000000003</v>
      </c>
      <c r="E41" s="30">
        <v>0.68400000000000005</v>
      </c>
      <c r="F41" s="30">
        <v>0.71</v>
      </c>
      <c r="G41" s="30">
        <v>0.73899999999999999</v>
      </c>
      <c r="H41" s="30">
        <v>0.76500000000000001</v>
      </c>
      <c r="I41" s="30">
        <v>0.79</v>
      </c>
      <c r="J41" s="30">
        <v>0.81200000000000006</v>
      </c>
      <c r="K41" s="30">
        <v>0.83099999999999996</v>
      </c>
      <c r="L41" s="30">
        <v>0.84899999999999998</v>
      </c>
      <c r="M41" s="30">
        <v>0.86399999999999999</v>
      </c>
      <c r="N41" s="30">
        <v>0.89100000000000001</v>
      </c>
      <c r="O41" s="30">
        <v>0.91100000000000003</v>
      </c>
      <c r="P41" s="30">
        <v>0.92100000000000004</v>
      </c>
      <c r="Q41" s="30">
        <v>0.93500000000000005</v>
      </c>
      <c r="R41" s="30">
        <v>0.94799999999999995</v>
      </c>
      <c r="S41" s="30">
        <v>0.97099999999999997</v>
      </c>
      <c r="T41" s="30">
        <v>0.98399999999999999</v>
      </c>
      <c r="U41" s="122">
        <v>0.99299999999999999</v>
      </c>
      <c r="V41" s="122">
        <v>0.998</v>
      </c>
      <c r="W41" s="122">
        <v>1</v>
      </c>
      <c r="X41" s="122">
        <v>0.998</v>
      </c>
      <c r="Y41" s="122">
        <v>0.99399999999999999</v>
      </c>
      <c r="Z41" s="122">
        <v>0.98499999999999999</v>
      </c>
      <c r="AA41" s="122">
        <v>0.97099999999999997</v>
      </c>
      <c r="AB41" s="122">
        <v>0.96699999999999997</v>
      </c>
      <c r="AC41" s="122">
        <v>0.96299999999999997</v>
      </c>
      <c r="AD41" s="122">
        <v>0.95899999999999996</v>
      </c>
      <c r="AE41" s="122">
        <v>0.95399999999999996</v>
      </c>
      <c r="AF41" s="122">
        <v>0.94799999999999995</v>
      </c>
      <c r="AG41" s="122">
        <v>0.93600000000000005</v>
      </c>
      <c r="AH41" s="122">
        <v>0.91900000000000004</v>
      </c>
      <c r="AI41" s="122">
        <v>0.91100000000000003</v>
      </c>
      <c r="AJ41" s="122">
        <v>0.88900000000000001</v>
      </c>
      <c r="AK41" s="122">
        <v>0.86099999999999999</v>
      </c>
      <c r="AL41" s="122">
        <v>0.84499999999999997</v>
      </c>
      <c r="AM41" s="122">
        <v>0.82699999999999996</v>
      </c>
      <c r="AN41" s="122">
        <v>0.80600000000000005</v>
      </c>
      <c r="AO41" s="122">
        <v>0.78100000000000003</v>
      </c>
      <c r="AP41" s="122">
        <v>0.753</v>
      </c>
      <c r="AQ41" s="122">
        <v>0.72099999999999997</v>
      </c>
      <c r="AR41" s="122">
        <v>0.68600000000000005</v>
      </c>
      <c r="AS41" s="122">
        <v>0.64100000000000001</v>
      </c>
      <c r="AT41" s="122">
        <v>0.59499999999999997</v>
      </c>
      <c r="AU41" s="122">
        <v>0.55600000000000005</v>
      </c>
      <c r="AV41" s="121">
        <v>0.51800000000000002</v>
      </c>
    </row>
    <row r="42" spans="1:48" s="51" customFormat="1" ht="16" customHeight="1" x14ac:dyDescent="0.3">
      <c r="A42" s="123">
        <v>1</v>
      </c>
      <c r="B42" s="28">
        <v>0.61</v>
      </c>
      <c r="C42" s="30">
        <v>0.63400000000000001</v>
      </c>
      <c r="D42" s="30">
        <v>0.65800000000000003</v>
      </c>
      <c r="E42" s="30">
        <v>0.68500000000000005</v>
      </c>
      <c r="F42" s="30">
        <v>0.71199999999999997</v>
      </c>
      <c r="G42" s="30">
        <v>0.73899999999999999</v>
      </c>
      <c r="H42" s="30">
        <v>0.76600000000000001</v>
      </c>
      <c r="I42" s="30">
        <v>0.79</v>
      </c>
      <c r="J42" s="30">
        <v>0.81200000000000006</v>
      </c>
      <c r="K42" s="30">
        <v>0.83199999999999996</v>
      </c>
      <c r="L42" s="30">
        <v>0.84899999999999998</v>
      </c>
      <c r="M42" s="30">
        <v>0.86399999999999999</v>
      </c>
      <c r="N42" s="30">
        <v>0.89</v>
      </c>
      <c r="O42" s="30">
        <v>0.91100000000000003</v>
      </c>
      <c r="P42" s="30">
        <v>0.92</v>
      </c>
      <c r="Q42" s="30">
        <v>0.93500000000000005</v>
      </c>
      <c r="R42" s="30">
        <v>0.94799999999999995</v>
      </c>
      <c r="S42" s="30">
        <v>0.97</v>
      </c>
      <c r="T42" s="30">
        <v>0.98499999999999999</v>
      </c>
      <c r="U42" s="122">
        <v>0.99399999999999999</v>
      </c>
      <c r="V42" s="122">
        <v>0.998</v>
      </c>
      <c r="W42" s="122">
        <v>1</v>
      </c>
      <c r="X42" s="122">
        <v>0.998</v>
      </c>
      <c r="Y42" s="122">
        <v>0.99399999999999999</v>
      </c>
      <c r="Z42" s="122">
        <v>0.98499999999999999</v>
      </c>
      <c r="AA42" s="122">
        <v>0.97099999999999997</v>
      </c>
      <c r="AB42" s="122">
        <v>0.96699999999999997</v>
      </c>
      <c r="AC42" s="122">
        <v>0.96299999999999997</v>
      </c>
      <c r="AD42" s="122">
        <v>0.95799999999999996</v>
      </c>
      <c r="AE42" s="122">
        <v>0.95299999999999996</v>
      </c>
      <c r="AF42" s="122">
        <v>0.94699999999999995</v>
      </c>
      <c r="AG42" s="122">
        <v>0.93500000000000005</v>
      </c>
      <c r="AH42" s="122">
        <v>0.91900000000000004</v>
      </c>
      <c r="AI42" s="122">
        <v>0.91</v>
      </c>
      <c r="AJ42" s="122">
        <v>0.88800000000000001</v>
      </c>
      <c r="AK42" s="122">
        <v>0.86099999999999999</v>
      </c>
      <c r="AL42" s="122">
        <v>0.84499999999999997</v>
      </c>
      <c r="AM42" s="122">
        <v>0.82599999999999996</v>
      </c>
      <c r="AN42" s="122">
        <v>0.80500000000000005</v>
      </c>
      <c r="AO42" s="122">
        <v>0.78100000000000003</v>
      </c>
      <c r="AP42" s="122">
        <v>0.754</v>
      </c>
      <c r="AQ42" s="122">
        <v>0.72199999999999998</v>
      </c>
      <c r="AR42" s="122">
        <v>0.68600000000000005</v>
      </c>
      <c r="AS42" s="122">
        <v>0.64600000000000002</v>
      </c>
      <c r="AT42" s="122">
        <v>0.60199999999999998</v>
      </c>
      <c r="AU42" s="122">
        <v>0.56299999999999994</v>
      </c>
      <c r="AV42" s="121">
        <v>0.52500000000000002</v>
      </c>
    </row>
    <row r="43" spans="1:48" s="51" customFormat="1" ht="16" customHeight="1" x14ac:dyDescent="0.3">
      <c r="A43" s="123">
        <v>1.5</v>
      </c>
      <c r="B43" s="28">
        <v>0.61399999999999999</v>
      </c>
      <c r="C43" s="30">
        <v>0.64</v>
      </c>
      <c r="D43" s="30">
        <v>0.66700000000000004</v>
      </c>
      <c r="E43" s="30">
        <v>0.69299999999999995</v>
      </c>
      <c r="F43" s="30">
        <v>0.71899999999999997</v>
      </c>
      <c r="G43" s="30">
        <v>0.746</v>
      </c>
      <c r="H43" s="30">
        <v>0.77200000000000002</v>
      </c>
      <c r="I43" s="30">
        <v>0.79500000000000004</v>
      </c>
      <c r="J43" s="30">
        <v>0.81599999999999995</v>
      </c>
      <c r="K43" s="30">
        <v>0.83499999999999996</v>
      </c>
      <c r="L43" s="30">
        <v>0.85199999999999998</v>
      </c>
      <c r="M43" s="30">
        <v>0.86699999999999999</v>
      </c>
      <c r="N43" s="30">
        <v>0.89200000000000002</v>
      </c>
      <c r="O43" s="30">
        <v>0.91300000000000003</v>
      </c>
      <c r="P43" s="30">
        <v>0.92100000000000004</v>
      </c>
      <c r="Q43" s="30">
        <v>0.93600000000000005</v>
      </c>
      <c r="R43" s="30">
        <v>0.94899999999999995</v>
      </c>
      <c r="S43" s="30">
        <v>0.97099999999999997</v>
      </c>
      <c r="T43" s="30">
        <v>0.98499999999999999</v>
      </c>
      <c r="U43" s="122">
        <v>0.99399999999999999</v>
      </c>
      <c r="V43" s="122">
        <v>0.999</v>
      </c>
      <c r="W43" s="122">
        <v>1</v>
      </c>
      <c r="X43" s="122">
        <v>0.998</v>
      </c>
      <c r="Y43" s="122">
        <v>0.99399999999999999</v>
      </c>
      <c r="Z43" s="122">
        <v>0.98499999999999999</v>
      </c>
      <c r="AA43" s="122">
        <v>0.97099999999999997</v>
      </c>
      <c r="AB43" s="122">
        <v>0.96799999999999997</v>
      </c>
      <c r="AC43" s="122">
        <v>0.96299999999999997</v>
      </c>
      <c r="AD43" s="122">
        <v>0.95899999999999996</v>
      </c>
      <c r="AE43" s="122">
        <v>0.95399999999999996</v>
      </c>
      <c r="AF43" s="122">
        <v>0.94799999999999995</v>
      </c>
      <c r="AG43" s="122">
        <v>0.93600000000000005</v>
      </c>
      <c r="AH43" s="122">
        <v>0.92</v>
      </c>
      <c r="AI43" s="122">
        <v>0.91200000000000003</v>
      </c>
      <c r="AJ43" s="122">
        <v>0.89</v>
      </c>
      <c r="AK43" s="122">
        <v>0.86399999999999999</v>
      </c>
      <c r="AL43" s="122">
        <v>0.84799999999999998</v>
      </c>
      <c r="AM43" s="122">
        <v>0.83</v>
      </c>
      <c r="AN43" s="122">
        <v>0.81</v>
      </c>
      <c r="AO43" s="122">
        <v>0.78600000000000003</v>
      </c>
      <c r="AP43" s="122">
        <v>0.76</v>
      </c>
      <c r="AQ43" s="122">
        <v>0.72899999999999998</v>
      </c>
      <c r="AR43" s="122">
        <v>0.69499999999999995</v>
      </c>
      <c r="AS43" s="122">
        <v>0.65600000000000003</v>
      </c>
      <c r="AT43" s="122">
        <v>0.61599999999999999</v>
      </c>
      <c r="AU43" s="122">
        <v>0.57799999999999996</v>
      </c>
      <c r="AV43" s="121">
        <v>0.54</v>
      </c>
    </row>
    <row r="44" spans="1:48" s="51" customFormat="1" ht="16" customHeight="1" x14ac:dyDescent="0.3">
      <c r="A44" s="125">
        <v>2</v>
      </c>
      <c r="B44" s="124">
        <v>0.625</v>
      </c>
      <c r="C44" s="122">
        <v>0.65100000000000002</v>
      </c>
      <c r="D44" s="122">
        <v>0.67700000000000005</v>
      </c>
      <c r="E44" s="122">
        <v>0.70299999999999996</v>
      </c>
      <c r="F44" s="122">
        <v>0.72899999999999998</v>
      </c>
      <c r="G44" s="122">
        <v>0.754</v>
      </c>
      <c r="H44" s="122">
        <v>0.77900000000000003</v>
      </c>
      <c r="I44" s="122">
        <v>0.80100000000000005</v>
      </c>
      <c r="J44" s="122">
        <v>0.82199999999999995</v>
      </c>
      <c r="K44" s="122">
        <v>0.84</v>
      </c>
      <c r="L44" s="122">
        <v>0.85599999999999998</v>
      </c>
      <c r="M44" s="122">
        <v>0.871</v>
      </c>
      <c r="N44" s="122">
        <v>0.89500000000000002</v>
      </c>
      <c r="O44" s="122">
        <v>0.91500000000000004</v>
      </c>
      <c r="P44" s="122">
        <v>0.92300000000000004</v>
      </c>
      <c r="Q44" s="122">
        <v>0.93700000000000006</v>
      </c>
      <c r="R44" s="122">
        <v>0.95</v>
      </c>
      <c r="S44" s="122">
        <v>0.97199999999999998</v>
      </c>
      <c r="T44" s="122">
        <v>0.98599999999999999</v>
      </c>
      <c r="U44" s="122">
        <v>0.99399999999999999</v>
      </c>
      <c r="V44" s="122">
        <v>0.999</v>
      </c>
      <c r="W44" s="122">
        <v>1</v>
      </c>
      <c r="X44" s="122">
        <v>0.999</v>
      </c>
      <c r="Y44" s="122">
        <v>0.995</v>
      </c>
      <c r="Z44" s="122">
        <v>0.98599999999999999</v>
      </c>
      <c r="AA44" s="122">
        <v>0.97199999999999998</v>
      </c>
      <c r="AB44" s="122">
        <v>0.96799999999999997</v>
      </c>
      <c r="AC44" s="122">
        <v>0.96399999999999997</v>
      </c>
      <c r="AD44" s="122">
        <v>0.96</v>
      </c>
      <c r="AE44" s="122">
        <v>0.95499999999999996</v>
      </c>
      <c r="AF44" s="122">
        <v>0.94899999999999995</v>
      </c>
      <c r="AG44" s="122">
        <v>0.93700000000000006</v>
      </c>
      <c r="AH44" s="122">
        <v>0.92200000000000004</v>
      </c>
      <c r="AI44" s="122">
        <v>0.91300000000000003</v>
      </c>
      <c r="AJ44" s="122">
        <v>0.89300000000000002</v>
      </c>
      <c r="AK44" s="122">
        <v>0.86699999999999999</v>
      </c>
      <c r="AL44" s="122">
        <v>0.85199999999999998</v>
      </c>
      <c r="AM44" s="122">
        <v>0.83499999999999996</v>
      </c>
      <c r="AN44" s="122">
        <v>0.81499999999999995</v>
      </c>
      <c r="AO44" s="122">
        <v>0.79200000000000004</v>
      </c>
      <c r="AP44" s="122">
        <v>0.76700000000000002</v>
      </c>
      <c r="AQ44" s="122">
        <v>0.73699999999999999</v>
      </c>
      <c r="AR44" s="122">
        <v>0.70499999999999996</v>
      </c>
      <c r="AS44" s="122">
        <v>0.66900000000000004</v>
      </c>
      <c r="AT44" s="122">
        <v>0.63</v>
      </c>
      <c r="AU44" s="122">
        <v>0.59499999999999997</v>
      </c>
      <c r="AV44" s="121">
        <v>0.55900000000000005</v>
      </c>
    </row>
    <row r="45" spans="1:48" s="51" customFormat="1" ht="16" customHeight="1" x14ac:dyDescent="0.3">
      <c r="A45" s="125">
        <v>3</v>
      </c>
      <c r="B45" s="124">
        <v>0.65</v>
      </c>
      <c r="C45" s="122">
        <v>0.67500000000000004</v>
      </c>
      <c r="D45" s="122">
        <v>0.69899999999999995</v>
      </c>
      <c r="E45" s="122">
        <v>0.72199999999999998</v>
      </c>
      <c r="F45" s="122">
        <v>0.746</v>
      </c>
      <c r="G45" s="122">
        <v>0.77</v>
      </c>
      <c r="H45" s="122">
        <v>0.79200000000000004</v>
      </c>
      <c r="I45" s="122">
        <v>0.81299999999999994</v>
      </c>
      <c r="J45" s="122">
        <v>0.83199999999999996</v>
      </c>
      <c r="K45" s="122">
        <v>0.84899999999999998</v>
      </c>
      <c r="L45" s="122">
        <v>0.86399999999999999</v>
      </c>
      <c r="M45" s="122">
        <v>0.877</v>
      </c>
      <c r="N45" s="122">
        <v>0.9</v>
      </c>
      <c r="O45" s="122">
        <v>0.91900000000000004</v>
      </c>
      <c r="P45" s="122">
        <v>0.92700000000000005</v>
      </c>
      <c r="Q45" s="122">
        <v>0.94</v>
      </c>
      <c r="R45" s="122">
        <v>0.95199999999999996</v>
      </c>
      <c r="S45" s="122">
        <v>0.97299999999999998</v>
      </c>
      <c r="T45" s="122">
        <v>0.98599999999999999</v>
      </c>
      <c r="U45" s="122">
        <v>0.995</v>
      </c>
      <c r="V45" s="122">
        <v>0.999</v>
      </c>
      <c r="W45" s="122">
        <v>1</v>
      </c>
      <c r="X45" s="122">
        <v>0.999</v>
      </c>
      <c r="Y45" s="122">
        <v>0.995</v>
      </c>
      <c r="Z45" s="122">
        <v>0.98699999999999999</v>
      </c>
      <c r="AA45" s="122">
        <v>0.97299999999999998</v>
      </c>
      <c r="AB45" s="122">
        <v>0.96899999999999997</v>
      </c>
      <c r="AC45" s="122">
        <v>0.96499999999999997</v>
      </c>
      <c r="AD45" s="122">
        <v>0.96099999999999997</v>
      </c>
      <c r="AE45" s="122">
        <v>0.95599999999999996</v>
      </c>
      <c r="AF45" s="122">
        <v>0.95099999999999996</v>
      </c>
      <c r="AG45" s="122">
        <v>0.94</v>
      </c>
      <c r="AH45" s="122">
        <v>0.92500000000000004</v>
      </c>
      <c r="AI45" s="122">
        <v>0.91700000000000004</v>
      </c>
      <c r="AJ45" s="122">
        <v>0.89800000000000002</v>
      </c>
      <c r="AK45" s="122">
        <v>0.873</v>
      </c>
      <c r="AL45" s="122">
        <v>0.86</v>
      </c>
      <c r="AM45" s="122">
        <v>0.84399999999999997</v>
      </c>
      <c r="AN45" s="122">
        <v>0.82499999999999996</v>
      </c>
      <c r="AO45" s="122">
        <v>0.80400000000000005</v>
      </c>
      <c r="AP45" s="122">
        <v>0.78200000000000003</v>
      </c>
      <c r="AQ45" s="122">
        <v>0.754</v>
      </c>
      <c r="AR45" s="122">
        <v>0.72499999999999998</v>
      </c>
      <c r="AS45" s="122">
        <v>0.69199999999999995</v>
      </c>
      <c r="AT45" s="122">
        <v>0.65800000000000003</v>
      </c>
      <c r="AU45" s="122">
        <v>0.625</v>
      </c>
      <c r="AV45" s="121">
        <v>0.59099999999999997</v>
      </c>
    </row>
    <row r="46" spans="1:48" s="51" customFormat="1" ht="16" customHeight="1" x14ac:dyDescent="0.3">
      <c r="A46" s="125">
        <v>4</v>
      </c>
      <c r="B46" s="124">
        <v>0.68899999999999995</v>
      </c>
      <c r="C46" s="122">
        <v>0.70399999999999996</v>
      </c>
      <c r="D46" s="122">
        <v>0.72</v>
      </c>
      <c r="E46" s="122">
        <v>0.74099999999999999</v>
      </c>
      <c r="F46" s="122">
        <v>0.76300000000000001</v>
      </c>
      <c r="G46" s="122">
        <v>0.78500000000000003</v>
      </c>
      <c r="H46" s="122">
        <v>0.80500000000000005</v>
      </c>
      <c r="I46" s="122">
        <v>0.82499999999999996</v>
      </c>
      <c r="J46" s="122">
        <v>0.84199999999999997</v>
      </c>
      <c r="K46" s="122">
        <v>0.85699999999999998</v>
      </c>
      <c r="L46" s="122">
        <v>0.871</v>
      </c>
      <c r="M46" s="122">
        <v>0.88400000000000001</v>
      </c>
      <c r="N46" s="122">
        <v>0.90500000000000003</v>
      </c>
      <c r="O46" s="122">
        <v>0.92200000000000004</v>
      </c>
      <c r="P46" s="122">
        <v>0.93</v>
      </c>
      <c r="Q46" s="122">
        <v>0.94299999999999995</v>
      </c>
      <c r="R46" s="122">
        <v>0.95399999999999996</v>
      </c>
      <c r="S46" s="122">
        <v>0.97399999999999998</v>
      </c>
      <c r="T46" s="122">
        <v>0.98699999999999999</v>
      </c>
      <c r="U46" s="122">
        <v>0.995</v>
      </c>
      <c r="V46" s="122">
        <v>0.999</v>
      </c>
      <c r="W46" s="122">
        <v>1</v>
      </c>
      <c r="X46" s="122">
        <v>0.999</v>
      </c>
      <c r="Y46" s="122">
        <v>0.995</v>
      </c>
      <c r="Z46" s="122">
        <v>0.98699999999999999</v>
      </c>
      <c r="AA46" s="122">
        <v>0.97399999999999998</v>
      </c>
      <c r="AB46" s="122">
        <v>0.97</v>
      </c>
      <c r="AC46" s="122">
        <v>0.96699999999999997</v>
      </c>
      <c r="AD46" s="122">
        <v>0.96199999999999997</v>
      </c>
      <c r="AE46" s="122">
        <v>0.95799999999999996</v>
      </c>
      <c r="AF46" s="122">
        <v>0.95299999999999996</v>
      </c>
      <c r="AG46" s="122">
        <v>0.94199999999999995</v>
      </c>
      <c r="AH46" s="122">
        <v>0.92900000000000005</v>
      </c>
      <c r="AI46" s="122">
        <v>0.92100000000000004</v>
      </c>
      <c r="AJ46" s="122">
        <v>0.90300000000000002</v>
      </c>
      <c r="AK46" s="122">
        <v>0.88</v>
      </c>
      <c r="AL46" s="122">
        <v>0.86699999999999999</v>
      </c>
      <c r="AM46" s="122">
        <v>0.85199999999999998</v>
      </c>
      <c r="AN46" s="122">
        <v>0.83499999999999996</v>
      </c>
      <c r="AO46" s="122">
        <v>0.81599999999999995</v>
      </c>
      <c r="AP46" s="122">
        <v>0.79400000000000004</v>
      </c>
      <c r="AQ46" s="122">
        <v>0.76900000000000002</v>
      </c>
      <c r="AR46" s="122">
        <v>0.74199999999999999</v>
      </c>
      <c r="AS46" s="122">
        <v>0.71099999999999997</v>
      </c>
      <c r="AT46" s="122">
        <v>0.67800000000000005</v>
      </c>
      <c r="AU46" s="122">
        <v>0.63800000000000001</v>
      </c>
      <c r="AV46" s="121">
        <v>0.59799999999999998</v>
      </c>
    </row>
    <row r="47" spans="1:48" s="51" customFormat="1" ht="16" customHeight="1" x14ac:dyDescent="0.3">
      <c r="A47" s="123">
        <v>5</v>
      </c>
      <c r="B47" s="28">
        <v>0.71099999999999997</v>
      </c>
      <c r="C47" s="122">
        <v>0.72499999999999998</v>
      </c>
      <c r="D47" s="122">
        <v>0.73799999999999999</v>
      </c>
      <c r="E47" s="122">
        <v>0.75700000000000001</v>
      </c>
      <c r="F47" s="122">
        <v>0.77700000000000002</v>
      </c>
      <c r="G47" s="122">
        <v>0.79700000000000004</v>
      </c>
      <c r="H47" s="122">
        <v>0.81599999999999995</v>
      </c>
      <c r="I47" s="122">
        <v>0.83499999999999996</v>
      </c>
      <c r="J47" s="122">
        <v>0.85</v>
      </c>
      <c r="K47" s="122">
        <v>0.86499999999999999</v>
      </c>
      <c r="L47" s="122">
        <v>0.878</v>
      </c>
      <c r="M47" s="122">
        <v>0.89</v>
      </c>
      <c r="N47" s="122">
        <v>0.90900000000000003</v>
      </c>
      <c r="O47" s="122">
        <v>0.92600000000000005</v>
      </c>
      <c r="P47" s="122">
        <v>0.93300000000000005</v>
      </c>
      <c r="Q47" s="122">
        <v>0.94499999999999995</v>
      </c>
      <c r="R47" s="122">
        <v>0.95599999999999996</v>
      </c>
      <c r="S47" s="122">
        <v>0.97399999999999998</v>
      </c>
      <c r="T47" s="122">
        <v>0.98699999999999999</v>
      </c>
      <c r="U47" s="122">
        <v>0.995</v>
      </c>
      <c r="V47" s="122">
        <v>0.999</v>
      </c>
      <c r="W47" s="122">
        <v>1</v>
      </c>
      <c r="X47" s="122">
        <v>0.999</v>
      </c>
      <c r="Y47" s="122">
        <v>0.995</v>
      </c>
      <c r="Z47" s="122">
        <v>0.98699999999999999</v>
      </c>
      <c r="AA47" s="122">
        <v>0.97499999999999998</v>
      </c>
      <c r="AB47" s="122">
        <v>0.97199999999999998</v>
      </c>
      <c r="AC47" s="122">
        <v>0.96799999999999997</v>
      </c>
      <c r="AD47" s="122">
        <v>0.96399999999999997</v>
      </c>
      <c r="AE47" s="122">
        <v>0.96</v>
      </c>
      <c r="AF47" s="122">
        <v>0.95499999999999996</v>
      </c>
      <c r="AG47" s="122">
        <v>0.94399999999999995</v>
      </c>
      <c r="AH47" s="122">
        <v>0.93100000000000005</v>
      </c>
      <c r="AI47" s="122">
        <v>0.92400000000000004</v>
      </c>
      <c r="AJ47" s="122">
        <v>0.90700000000000003</v>
      </c>
      <c r="AK47" s="122">
        <v>0.88600000000000001</v>
      </c>
      <c r="AL47" s="122">
        <v>0.874</v>
      </c>
      <c r="AM47" s="122">
        <v>0.86</v>
      </c>
      <c r="AN47" s="122">
        <v>0.84399999999999997</v>
      </c>
      <c r="AO47" s="122">
        <v>0.82599999999999996</v>
      </c>
      <c r="AP47" s="122">
        <v>0.80600000000000005</v>
      </c>
      <c r="AQ47" s="122">
        <v>0.78300000000000003</v>
      </c>
      <c r="AR47" s="122">
        <v>0.75800000000000001</v>
      </c>
      <c r="AS47" s="122">
        <v>0.73</v>
      </c>
      <c r="AT47" s="122">
        <v>0.69899999999999995</v>
      </c>
      <c r="AU47" s="122">
        <v>0.66</v>
      </c>
      <c r="AV47" s="121">
        <v>0.621</v>
      </c>
    </row>
    <row r="48" spans="1:48" s="51" customFormat="1" ht="16" customHeight="1" x14ac:dyDescent="0.3">
      <c r="A48" s="123">
        <v>6</v>
      </c>
      <c r="B48" s="28">
        <v>0.73299999999999998</v>
      </c>
      <c r="C48" s="122">
        <v>0.74399999999999999</v>
      </c>
      <c r="D48" s="122">
        <v>0.755</v>
      </c>
      <c r="E48" s="122">
        <v>0.77200000000000002</v>
      </c>
      <c r="F48" s="122">
        <v>0.79</v>
      </c>
      <c r="G48" s="122">
        <v>0.80900000000000005</v>
      </c>
      <c r="H48" s="122">
        <v>0.82599999999999996</v>
      </c>
      <c r="I48" s="122">
        <v>0.84399999999999997</v>
      </c>
      <c r="J48" s="122">
        <v>0.85799999999999998</v>
      </c>
      <c r="K48" s="122">
        <v>0.871</v>
      </c>
      <c r="L48" s="122">
        <v>0.88300000000000001</v>
      </c>
      <c r="M48" s="122">
        <v>0.89400000000000002</v>
      </c>
      <c r="N48" s="122">
        <v>0.91300000000000003</v>
      </c>
      <c r="O48" s="122">
        <v>0.92900000000000005</v>
      </c>
      <c r="P48" s="122">
        <v>0.93500000000000005</v>
      </c>
      <c r="Q48" s="122">
        <v>0.94699999999999995</v>
      </c>
      <c r="R48" s="122">
        <v>0.95799999999999996</v>
      </c>
      <c r="S48" s="122">
        <v>0.97499999999999998</v>
      </c>
      <c r="T48" s="122">
        <v>0.98799999999999999</v>
      </c>
      <c r="U48" s="122">
        <v>0.995</v>
      </c>
      <c r="V48" s="122">
        <v>1</v>
      </c>
      <c r="W48" s="122">
        <v>1</v>
      </c>
      <c r="X48" s="122">
        <v>0.999</v>
      </c>
      <c r="Y48" s="122">
        <v>0.995</v>
      </c>
      <c r="Z48" s="122">
        <v>0.98799999999999999</v>
      </c>
      <c r="AA48" s="122">
        <v>0.97499999999999998</v>
      </c>
      <c r="AB48" s="122">
        <v>0.97199999999999998</v>
      </c>
      <c r="AC48" s="122">
        <v>0.96899999999999997</v>
      </c>
      <c r="AD48" s="122">
        <v>0.96499999999999997</v>
      </c>
      <c r="AE48" s="122">
        <v>0.96099999999999997</v>
      </c>
      <c r="AF48" s="122">
        <v>0.95699999999999996</v>
      </c>
      <c r="AG48" s="122">
        <v>0.94599999999999995</v>
      </c>
      <c r="AH48" s="122">
        <v>0.93400000000000005</v>
      </c>
      <c r="AI48" s="122">
        <v>0.92700000000000005</v>
      </c>
      <c r="AJ48" s="122">
        <v>0.91100000000000003</v>
      </c>
      <c r="AK48" s="122">
        <v>0.89100000000000001</v>
      </c>
      <c r="AL48" s="122">
        <v>0.879</v>
      </c>
      <c r="AM48" s="122">
        <v>0.86699999999999999</v>
      </c>
      <c r="AN48" s="122">
        <v>0.85199999999999998</v>
      </c>
      <c r="AO48" s="122">
        <v>0.83499999999999996</v>
      </c>
      <c r="AP48" s="122">
        <v>0.81599999999999995</v>
      </c>
      <c r="AQ48" s="122">
        <v>0.79600000000000004</v>
      </c>
      <c r="AR48" s="122">
        <v>0.77200000000000002</v>
      </c>
      <c r="AS48" s="122">
        <v>0.747</v>
      </c>
      <c r="AT48" s="122">
        <v>0.71799999999999997</v>
      </c>
      <c r="AU48" s="122">
        <v>0.68200000000000005</v>
      </c>
      <c r="AV48" s="121">
        <v>0.64600000000000002</v>
      </c>
    </row>
    <row r="49" spans="1:48" s="51" customFormat="1" ht="16" customHeight="1" x14ac:dyDescent="0.3">
      <c r="A49" s="123">
        <v>8</v>
      </c>
      <c r="B49" s="28">
        <v>0.76800000000000002</v>
      </c>
      <c r="C49" s="122">
        <v>0.77500000000000002</v>
      </c>
      <c r="D49" s="122">
        <v>0.78200000000000003</v>
      </c>
      <c r="E49" s="122">
        <v>0.79600000000000004</v>
      </c>
      <c r="F49" s="122">
        <v>0.81200000000000006</v>
      </c>
      <c r="G49" s="122">
        <v>0.82899999999999996</v>
      </c>
      <c r="H49" s="122">
        <v>0.84399999999999997</v>
      </c>
      <c r="I49" s="122">
        <v>0.85899999999999999</v>
      </c>
      <c r="J49" s="122">
        <v>0.871</v>
      </c>
      <c r="K49" s="122">
        <v>0.88200000000000001</v>
      </c>
      <c r="L49" s="122">
        <v>0.89300000000000002</v>
      </c>
      <c r="M49" s="122">
        <v>0.90300000000000002</v>
      </c>
      <c r="N49" s="122">
        <v>0.92</v>
      </c>
      <c r="O49" s="122">
        <v>0.93400000000000005</v>
      </c>
      <c r="P49" s="122">
        <v>0.94</v>
      </c>
      <c r="Q49" s="122">
        <v>0.95</v>
      </c>
      <c r="R49" s="122">
        <v>0.96</v>
      </c>
      <c r="S49" s="122">
        <v>0.97699999999999998</v>
      </c>
      <c r="T49" s="122">
        <v>0.98799999999999999</v>
      </c>
      <c r="U49" s="122">
        <v>0.995</v>
      </c>
      <c r="V49" s="122">
        <v>1</v>
      </c>
      <c r="W49" s="122">
        <v>1</v>
      </c>
      <c r="X49" s="122">
        <v>0.999</v>
      </c>
      <c r="Y49" s="122">
        <v>0.995</v>
      </c>
      <c r="Z49" s="122">
        <v>0.98799999999999999</v>
      </c>
      <c r="AA49" s="122">
        <v>0.97699999999999998</v>
      </c>
      <c r="AB49" s="122">
        <v>0.97399999999999998</v>
      </c>
      <c r="AC49" s="122">
        <v>0.97</v>
      </c>
      <c r="AD49" s="122">
        <v>0.96699999999999997</v>
      </c>
      <c r="AE49" s="122">
        <v>0.96299999999999997</v>
      </c>
      <c r="AF49" s="122">
        <v>0.95899999999999996</v>
      </c>
      <c r="AG49" s="122">
        <v>0.94899999999999995</v>
      </c>
      <c r="AH49" s="122">
        <v>0.93799999999999994</v>
      </c>
      <c r="AI49" s="122">
        <v>0.93200000000000005</v>
      </c>
      <c r="AJ49" s="122">
        <v>0.91800000000000004</v>
      </c>
      <c r="AK49" s="122">
        <v>0.9</v>
      </c>
      <c r="AL49" s="122">
        <v>0.89</v>
      </c>
      <c r="AM49" s="122">
        <v>0.878</v>
      </c>
      <c r="AN49" s="122">
        <v>0.86599999999999999</v>
      </c>
      <c r="AO49" s="122">
        <v>0.85099999999999998</v>
      </c>
      <c r="AP49" s="122">
        <v>0.83499999999999996</v>
      </c>
      <c r="AQ49" s="122">
        <v>0.81699999999999995</v>
      </c>
      <c r="AR49" s="122">
        <v>0.79600000000000004</v>
      </c>
      <c r="AS49" s="122">
        <v>0.77400000000000002</v>
      </c>
      <c r="AT49" s="122">
        <v>0.749</v>
      </c>
      <c r="AU49" s="122">
        <v>0.71699999999999997</v>
      </c>
      <c r="AV49" s="121">
        <v>0.68500000000000005</v>
      </c>
    </row>
    <row r="50" spans="1:48" s="51" customFormat="1" ht="16" customHeight="1" thickBot="1" x14ac:dyDescent="0.35">
      <c r="A50" s="120">
        <v>10</v>
      </c>
      <c r="B50" s="36">
        <v>0.79800000000000004</v>
      </c>
      <c r="C50" s="119">
        <v>0.80100000000000005</v>
      </c>
      <c r="D50" s="119">
        <v>0.80400000000000005</v>
      </c>
      <c r="E50" s="119">
        <v>0.81599999999999995</v>
      </c>
      <c r="F50" s="119">
        <v>0.83</v>
      </c>
      <c r="G50" s="119">
        <v>0.84399999999999997</v>
      </c>
      <c r="H50" s="119">
        <v>0.85699999999999998</v>
      </c>
      <c r="I50" s="119">
        <v>0.871</v>
      </c>
      <c r="J50" s="119">
        <v>0.88100000000000001</v>
      </c>
      <c r="K50" s="119">
        <v>0.89200000000000002</v>
      </c>
      <c r="L50" s="119">
        <v>0.90100000000000002</v>
      </c>
      <c r="M50" s="119">
        <v>0.91</v>
      </c>
      <c r="N50" s="119">
        <v>0.92500000000000004</v>
      </c>
      <c r="O50" s="119">
        <v>0.93799999999999994</v>
      </c>
      <c r="P50" s="119">
        <v>0.94399999999999995</v>
      </c>
      <c r="Q50" s="119">
        <v>0.95299999999999996</v>
      </c>
      <c r="R50" s="119">
        <v>0.96199999999999997</v>
      </c>
      <c r="S50" s="119">
        <v>0.97799999999999998</v>
      </c>
      <c r="T50" s="119">
        <v>0.98899999999999999</v>
      </c>
      <c r="U50" s="119">
        <v>0.995</v>
      </c>
      <c r="V50" s="119">
        <v>1</v>
      </c>
      <c r="W50" s="119">
        <v>1</v>
      </c>
      <c r="X50" s="119">
        <v>0.999</v>
      </c>
      <c r="Y50" s="119">
        <v>0.995</v>
      </c>
      <c r="Z50" s="119">
        <v>0.98899999999999999</v>
      </c>
      <c r="AA50" s="119">
        <v>0.97799999999999998</v>
      </c>
      <c r="AB50" s="119">
        <v>0.97499999999999998</v>
      </c>
      <c r="AC50" s="119">
        <v>0.97199999999999998</v>
      </c>
      <c r="AD50" s="119">
        <v>0.96799999999999997</v>
      </c>
      <c r="AE50" s="119">
        <v>0.96499999999999997</v>
      </c>
      <c r="AF50" s="119">
        <v>0.96099999999999997</v>
      </c>
      <c r="AG50" s="119">
        <v>0.95199999999999996</v>
      </c>
      <c r="AH50" s="119">
        <v>0.94199999999999995</v>
      </c>
      <c r="AI50" s="119">
        <v>0.93600000000000005</v>
      </c>
      <c r="AJ50" s="119">
        <v>0.92300000000000004</v>
      </c>
      <c r="AK50" s="119">
        <v>0.90700000000000003</v>
      </c>
      <c r="AL50" s="119">
        <v>0.89800000000000002</v>
      </c>
      <c r="AM50" s="119">
        <v>0.88700000000000001</v>
      </c>
      <c r="AN50" s="119">
        <v>0.876</v>
      </c>
      <c r="AO50" s="119">
        <v>0.86299999999999999</v>
      </c>
      <c r="AP50" s="119">
        <v>0.84899999999999998</v>
      </c>
      <c r="AQ50" s="119">
        <v>0.83399999999999996</v>
      </c>
      <c r="AR50" s="119">
        <v>0.81499999999999995</v>
      </c>
      <c r="AS50" s="119">
        <v>0.79700000000000004</v>
      </c>
      <c r="AT50" s="119">
        <v>0.77300000000000002</v>
      </c>
      <c r="AU50" s="119">
        <v>0.746</v>
      </c>
      <c r="AV50" s="118">
        <v>0.71799999999999997</v>
      </c>
    </row>
    <row r="51" spans="1:48" s="51" customFormat="1" ht="16" customHeight="1" x14ac:dyDescent="0.3">
      <c r="A51" s="99"/>
      <c r="B51" s="100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</row>
    <row r="52" spans="1:48" s="51" customFormat="1" ht="16" customHeight="1" x14ac:dyDescent="0.3">
      <c r="A52" s="99"/>
      <c r="B52" s="100"/>
      <c r="C52" s="42"/>
      <c r="D52" s="42"/>
      <c r="E52" s="42"/>
      <c r="F52" s="42"/>
      <c r="G52" s="42"/>
      <c r="H52" s="42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</row>
    <row r="53" spans="1:48" ht="16" customHeight="1" x14ac:dyDescent="0.3">
      <c r="A53" s="102"/>
      <c r="B53" s="42"/>
      <c r="C53" s="54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</row>
    <row r="54" spans="1:48" ht="16" customHeight="1" x14ac:dyDescent="0.3">
      <c r="A54" s="102"/>
      <c r="B54" s="42"/>
      <c r="C54" s="54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</row>
    <row r="55" spans="1:48" ht="16" customHeight="1" x14ac:dyDescent="0.3">
      <c r="A55" s="102"/>
      <c r="B55" s="42"/>
      <c r="C55" s="54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</row>
    <row r="56" spans="1:48" ht="16" customHeight="1" x14ac:dyDescent="0.3">
      <c r="A56" s="102"/>
      <c r="B56" s="42"/>
      <c r="C56" s="54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</row>
    <row r="57" spans="1:48" ht="16" customHeight="1" x14ac:dyDescent="0.3">
      <c r="A57" s="102"/>
      <c r="B57" s="42"/>
      <c r="C57" s="54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</row>
    <row r="58" spans="1:48" ht="16" customHeight="1" x14ac:dyDescent="0.3">
      <c r="A58" s="102"/>
      <c r="B58" s="42"/>
      <c r="C58" s="54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</row>
    <row r="59" spans="1:48" ht="16" customHeight="1" x14ac:dyDescent="0.3">
      <c r="A59" s="102"/>
      <c r="B59" s="42"/>
      <c r="C59" s="54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</row>
    <row r="60" spans="1:48" ht="16" customHeight="1" x14ac:dyDescent="0.3"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</row>
    <row r="61" spans="1:48" ht="16" customHeight="1" x14ac:dyDescent="0.3"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</row>
    <row r="62" spans="1:48" ht="16" customHeight="1" x14ac:dyDescent="0.3"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</row>
    <row r="63" spans="1:48" ht="16" customHeight="1" x14ac:dyDescent="0.3"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</row>
    <row r="64" spans="1:48" ht="16" customHeight="1" x14ac:dyDescent="0.3"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</row>
    <row r="65" spans="9:22" ht="16" customHeight="1" x14ac:dyDescent="0.3"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</row>
    <row r="66" spans="9:22" x14ac:dyDescent="0.3"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</row>
    <row r="67" spans="9:22" x14ac:dyDescent="0.3">
      <c r="I67" s="117"/>
      <c r="J67" s="117"/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</row>
    <row r="68" spans="9:22" x14ac:dyDescent="0.3">
      <c r="I68" s="117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</row>
    <row r="69" spans="9:22" x14ac:dyDescent="0.3"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</row>
    <row r="70" spans="9:22" x14ac:dyDescent="0.3"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</row>
    <row r="71" spans="9:22" x14ac:dyDescent="0.3"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</row>
    <row r="72" spans="9:22" x14ac:dyDescent="0.3"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</row>
  </sheetData>
  <mergeCells count="12">
    <mergeCell ref="A1:E1"/>
    <mergeCell ref="B2:F2"/>
    <mergeCell ref="I3:K3"/>
    <mergeCell ref="I4:I5"/>
    <mergeCell ref="J4:J5"/>
    <mergeCell ref="K4:K5"/>
    <mergeCell ref="A7:D7"/>
    <mergeCell ref="H12:J12"/>
    <mergeCell ref="L14:L15"/>
    <mergeCell ref="F17:H18"/>
    <mergeCell ref="B29:AV29"/>
    <mergeCell ref="J14:K14"/>
  </mergeCell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71"/>
  <sheetViews>
    <sheetView showGridLines="0" workbookViewId="0">
      <selection activeCell="F16" sqref="F16"/>
    </sheetView>
  </sheetViews>
  <sheetFormatPr defaultColWidth="9.15234375" defaultRowHeight="12.45" x14ac:dyDescent="0.3"/>
  <cols>
    <col min="1" max="15" width="10.69140625" style="20" customWidth="1"/>
    <col min="16" max="16384" width="9.15234375" style="20"/>
  </cols>
  <sheetData>
    <row r="1" spans="1:12" ht="36.75" customHeight="1" x14ac:dyDescent="0.3">
      <c r="A1" s="552" t="s">
        <v>20</v>
      </c>
      <c r="B1" s="487"/>
      <c r="C1" s="487"/>
      <c r="D1" s="487"/>
      <c r="E1" s="487"/>
    </row>
    <row r="2" spans="1:12" ht="18.75" customHeight="1" x14ac:dyDescent="0.3">
      <c r="A2" s="66" t="s">
        <v>34</v>
      </c>
      <c r="B2" s="538" t="s">
        <v>35</v>
      </c>
      <c r="C2" s="553"/>
      <c r="D2" s="553"/>
      <c r="E2" s="553"/>
      <c r="F2" s="553"/>
    </row>
    <row r="3" spans="1:12" ht="16" customHeight="1" thickBot="1" x14ac:dyDescent="0.35">
      <c r="A3" s="49"/>
      <c r="B3" s="7"/>
      <c r="D3" s="7"/>
      <c r="I3" s="540" t="s">
        <v>12</v>
      </c>
      <c r="J3" s="540"/>
      <c r="K3" s="540"/>
    </row>
    <row r="4" spans="1:12" ht="16" customHeight="1" thickBot="1" x14ac:dyDescent="0.35">
      <c r="A4" s="5" t="s">
        <v>4</v>
      </c>
      <c r="B4" s="82">
        <v>1.1100000000000001</v>
      </c>
      <c r="C4" s="50" t="s">
        <v>5</v>
      </c>
      <c r="D4" s="51"/>
      <c r="E4" s="6" t="s">
        <v>6</v>
      </c>
      <c r="F4" s="139">
        <v>4.03</v>
      </c>
      <c r="I4" s="541" t="s">
        <v>13</v>
      </c>
      <c r="J4" s="543" t="s">
        <v>14</v>
      </c>
      <c r="K4" s="545" t="s">
        <v>15</v>
      </c>
    </row>
    <row r="5" spans="1:12" ht="16" customHeight="1" thickBot="1" x14ac:dyDescent="0.35">
      <c r="A5" s="6" t="s">
        <v>7</v>
      </c>
      <c r="B5" s="74">
        <v>73.83</v>
      </c>
      <c r="C5" s="50" t="s">
        <v>8</v>
      </c>
      <c r="D5" s="7"/>
      <c r="E5" s="15" t="s">
        <v>9</v>
      </c>
      <c r="F5" s="16">
        <f>LN(2)/(B5*24)</f>
        <v>3.9118424113952392E-4</v>
      </c>
      <c r="G5" s="50" t="s">
        <v>17</v>
      </c>
      <c r="I5" s="554"/>
      <c r="J5" s="555"/>
      <c r="K5" s="556"/>
    </row>
    <row r="6" spans="1:12" ht="16" customHeight="1" thickBot="1" x14ac:dyDescent="0.35">
      <c r="I6" s="17">
        <v>0.8</v>
      </c>
      <c r="J6" s="18">
        <v>3</v>
      </c>
      <c r="K6" s="19">
        <v>3</v>
      </c>
    </row>
    <row r="7" spans="1:12" ht="18.75" customHeight="1" thickBot="1" x14ac:dyDescent="0.35">
      <c r="A7" s="524" t="s">
        <v>10</v>
      </c>
      <c r="B7" s="487"/>
      <c r="C7" s="487"/>
      <c r="D7" s="487"/>
      <c r="E7" s="68"/>
    </row>
    <row r="8" spans="1:12" ht="22.5" customHeight="1" thickBot="1" x14ac:dyDescent="0.35">
      <c r="A8" s="96"/>
      <c r="B8" s="104" t="s">
        <v>24</v>
      </c>
      <c r="C8" s="113" t="s">
        <v>21</v>
      </c>
      <c r="D8" s="98"/>
      <c r="E8" s="52"/>
    </row>
    <row r="9" spans="1:12" s="51" customFormat="1" ht="16" customHeight="1" x14ac:dyDescent="0.3">
      <c r="A9" s="97"/>
      <c r="B9" s="105">
        <v>0</v>
      </c>
      <c r="C9" s="109">
        <v>0.97899999999999998</v>
      </c>
    </row>
    <row r="10" spans="1:12" s="51" customFormat="1" ht="16" customHeight="1" x14ac:dyDescent="0.3">
      <c r="A10" s="97"/>
      <c r="B10" s="106">
        <v>0.05</v>
      </c>
      <c r="C10" s="110">
        <v>0.97899999999999998</v>
      </c>
      <c r="I10" s="10"/>
    </row>
    <row r="11" spans="1:12" s="51" customFormat="1" ht="16" customHeight="1" x14ac:dyDescent="0.3">
      <c r="A11" s="97"/>
      <c r="B11" s="106">
        <v>0.1</v>
      </c>
      <c r="C11" s="110">
        <v>0.98599999999999999</v>
      </c>
      <c r="I11" s="8"/>
    </row>
    <row r="12" spans="1:12" s="51" customFormat="1" ht="16" customHeight="1" x14ac:dyDescent="0.3">
      <c r="A12" s="97"/>
      <c r="B12" s="106">
        <v>0.15</v>
      </c>
      <c r="C12" s="110">
        <v>0.98899999999999999</v>
      </c>
      <c r="H12" s="408" t="s">
        <v>0</v>
      </c>
      <c r="I12" s="409"/>
      <c r="J12" s="409"/>
      <c r="K12" s="1"/>
      <c r="L12" s="1"/>
    </row>
    <row r="13" spans="1:12" s="51" customFormat="1" ht="16" customHeight="1" thickBot="1" x14ac:dyDescent="0.35">
      <c r="A13" s="97"/>
      <c r="B13" s="106">
        <v>0.2</v>
      </c>
      <c r="C13" s="110">
        <v>0.99099999999999999</v>
      </c>
      <c r="H13" s="1"/>
      <c r="I13" s="1"/>
      <c r="J13" s="1"/>
      <c r="K13" s="1"/>
      <c r="L13" s="1"/>
    </row>
    <row r="14" spans="1:12" s="51" customFormat="1" ht="16" customHeight="1" x14ac:dyDescent="0.3">
      <c r="A14" s="97"/>
      <c r="B14" s="106">
        <v>0.25</v>
      </c>
      <c r="C14" s="110">
        <v>0.99199999999999999</v>
      </c>
      <c r="H14" s="143"/>
      <c r="I14" s="346"/>
      <c r="J14" s="401" t="s">
        <v>1</v>
      </c>
      <c r="K14" s="403"/>
      <c r="L14" s="551"/>
    </row>
    <row r="15" spans="1:12" s="51" customFormat="1" ht="16" customHeight="1" thickBot="1" x14ac:dyDescent="0.35">
      <c r="A15" s="97"/>
      <c r="B15" s="106">
        <v>0.5</v>
      </c>
      <c r="C15" s="110">
        <v>0.996</v>
      </c>
      <c r="H15" s="348" t="s">
        <v>30</v>
      </c>
      <c r="I15" s="350" t="s">
        <v>29</v>
      </c>
      <c r="J15" s="22" t="s">
        <v>23</v>
      </c>
      <c r="K15" s="21" t="s">
        <v>31</v>
      </c>
      <c r="L15" s="490"/>
    </row>
    <row r="16" spans="1:12" s="51" customFormat="1" ht="16" customHeight="1" thickBot="1" x14ac:dyDescent="0.35">
      <c r="A16" s="97"/>
      <c r="B16" s="106">
        <v>0.75</v>
      </c>
      <c r="C16" s="110">
        <v>0.997</v>
      </c>
      <c r="F16" s="54"/>
      <c r="G16" s="54"/>
      <c r="H16" s="67">
        <v>2</v>
      </c>
      <c r="I16" s="95">
        <v>10</v>
      </c>
      <c r="J16" s="13">
        <f>Interpolate1DTable(H16,$B$9:$C$25)</f>
        <v>1.008</v>
      </c>
      <c r="K16" s="94">
        <f>Interpolate2DTable(H16,I16,$A$29:$T$43)</f>
        <v>0.89700000000000002</v>
      </c>
    </row>
    <row r="17" spans="1:20" s="51" customFormat="1" ht="16" customHeight="1" x14ac:dyDescent="0.3">
      <c r="A17" s="97"/>
      <c r="B17" s="106">
        <v>1</v>
      </c>
      <c r="C17" s="110">
        <v>1</v>
      </c>
      <c r="F17" s="530"/>
      <c r="G17" s="530"/>
      <c r="H17" s="530"/>
    </row>
    <row r="18" spans="1:20" s="51" customFormat="1" ht="16" customHeight="1" x14ac:dyDescent="0.3">
      <c r="A18" s="97"/>
      <c r="B18" s="106">
        <v>1.5</v>
      </c>
      <c r="C18" s="110">
        <v>1.004</v>
      </c>
      <c r="F18" s="530"/>
      <c r="G18" s="530"/>
      <c r="H18" s="530"/>
    </row>
    <row r="19" spans="1:20" s="51" customFormat="1" ht="16" customHeight="1" x14ac:dyDescent="0.3">
      <c r="A19" s="97"/>
      <c r="B19" s="106">
        <v>2</v>
      </c>
      <c r="C19" s="110">
        <v>1.008</v>
      </c>
      <c r="F19" s="54"/>
      <c r="G19" s="54"/>
      <c r="H19" s="4"/>
      <c r="I19" s="2"/>
      <c r="J19" s="2"/>
      <c r="K19" s="68"/>
    </row>
    <row r="20" spans="1:20" s="51" customFormat="1" ht="16" customHeight="1" x14ac:dyDescent="0.3">
      <c r="A20" s="97"/>
      <c r="B20" s="106">
        <v>3</v>
      </c>
      <c r="C20" s="110">
        <v>1.01</v>
      </c>
      <c r="F20" s="55"/>
      <c r="G20" s="9"/>
      <c r="H20" s="3"/>
      <c r="I20" s="54"/>
      <c r="J20" s="54"/>
      <c r="K20" s="69"/>
    </row>
    <row r="21" spans="1:20" s="51" customFormat="1" ht="16" customHeight="1" x14ac:dyDescent="0.3">
      <c r="A21" s="97"/>
      <c r="B21" s="106">
        <v>4</v>
      </c>
      <c r="C21" s="110">
        <v>1.0089999999999999</v>
      </c>
      <c r="F21" s="55"/>
      <c r="G21" s="9"/>
      <c r="H21" s="93"/>
      <c r="I21" s="54"/>
      <c r="J21" s="54"/>
      <c r="K21" s="70"/>
    </row>
    <row r="22" spans="1:20" s="51" customFormat="1" ht="16" customHeight="1" x14ac:dyDescent="0.3">
      <c r="A22" s="97"/>
      <c r="B22" s="106">
        <v>5</v>
      </c>
      <c r="C22" s="110">
        <v>1.0049999999999999</v>
      </c>
      <c r="F22" s="54"/>
      <c r="G22" s="54"/>
      <c r="H22" s="54"/>
    </row>
    <row r="23" spans="1:20" s="51" customFormat="1" ht="16" customHeight="1" x14ac:dyDescent="0.3">
      <c r="A23" s="97"/>
      <c r="B23" s="106">
        <v>6</v>
      </c>
      <c r="C23" s="110">
        <v>0.999</v>
      </c>
      <c r="F23" s="54"/>
      <c r="G23" s="54"/>
      <c r="H23" s="54"/>
    </row>
    <row r="24" spans="1:20" s="51" customFormat="1" ht="16" customHeight="1" x14ac:dyDescent="0.3">
      <c r="A24" s="97"/>
      <c r="B24" s="106">
        <v>8</v>
      </c>
      <c r="C24" s="110">
        <v>0.97699999999999998</v>
      </c>
    </row>
    <row r="25" spans="1:20" s="51" customFormat="1" ht="16" customHeight="1" thickBot="1" x14ac:dyDescent="0.35">
      <c r="A25" s="97"/>
      <c r="B25" s="112">
        <v>10</v>
      </c>
      <c r="C25" s="114">
        <v>0.94499999999999995</v>
      </c>
    </row>
    <row r="26" spans="1:20" s="51" customFormat="1" ht="16" customHeight="1" x14ac:dyDescent="0.3"/>
    <row r="27" spans="1:20" s="51" customFormat="1" ht="21.75" customHeight="1" thickBot="1" x14ac:dyDescent="0.35">
      <c r="A27" s="56" t="s">
        <v>36</v>
      </c>
    </row>
    <row r="28" spans="1:20" s="51" customFormat="1" ht="19.5" customHeight="1" thickBot="1" x14ac:dyDescent="0.35">
      <c r="A28" s="57" t="s">
        <v>25</v>
      </c>
      <c r="B28" s="547" t="s">
        <v>26</v>
      </c>
      <c r="C28" s="548"/>
      <c r="D28" s="548"/>
      <c r="E28" s="548"/>
      <c r="F28" s="548"/>
      <c r="G28" s="548"/>
      <c r="H28" s="548"/>
      <c r="I28" s="548"/>
      <c r="J28" s="548"/>
      <c r="K28" s="548"/>
      <c r="L28" s="548"/>
      <c r="M28" s="548"/>
      <c r="N28" s="548"/>
      <c r="O28" s="549"/>
      <c r="P28" s="549"/>
      <c r="Q28" s="549"/>
      <c r="R28" s="549"/>
      <c r="S28" s="549"/>
      <c r="T28" s="550"/>
    </row>
    <row r="29" spans="1:20" s="51" customFormat="1" ht="16" customHeight="1" thickBot="1" x14ac:dyDescent="0.35">
      <c r="A29" s="60" t="s">
        <v>24</v>
      </c>
      <c r="B29" s="63">
        <v>0</v>
      </c>
      <c r="C29" s="64">
        <v>1</v>
      </c>
      <c r="D29" s="64">
        <v>2</v>
      </c>
      <c r="E29" s="64">
        <v>3</v>
      </c>
      <c r="F29" s="64">
        <v>4</v>
      </c>
      <c r="G29" s="64">
        <v>5</v>
      </c>
      <c r="H29" s="64">
        <v>6</v>
      </c>
      <c r="I29" s="64">
        <v>8</v>
      </c>
      <c r="J29" s="64">
        <v>10</v>
      </c>
      <c r="K29" s="64">
        <v>15</v>
      </c>
      <c r="L29" s="64">
        <v>20</v>
      </c>
      <c r="M29" s="64">
        <v>25</v>
      </c>
      <c r="N29" s="64">
        <v>30</v>
      </c>
      <c r="O29" s="64">
        <v>40</v>
      </c>
      <c r="P29" s="64">
        <v>50</v>
      </c>
      <c r="Q29" s="64">
        <v>60</v>
      </c>
      <c r="R29" s="64">
        <v>70</v>
      </c>
      <c r="S29" s="64">
        <v>80</v>
      </c>
      <c r="T29" s="65">
        <v>90</v>
      </c>
    </row>
    <row r="30" spans="1:20" s="51" customFormat="1" ht="16" customHeight="1" x14ac:dyDescent="0.3">
      <c r="A30" s="85">
        <v>0</v>
      </c>
      <c r="B30" s="24">
        <v>0.745</v>
      </c>
      <c r="C30" s="25">
        <v>0.755</v>
      </c>
      <c r="D30" s="26">
        <v>0.78700000000000003</v>
      </c>
      <c r="E30" s="26">
        <v>0.82799999999999996</v>
      </c>
      <c r="F30" s="25">
        <v>0.85899999999999999</v>
      </c>
      <c r="G30" s="26">
        <v>0.88</v>
      </c>
      <c r="H30" s="25">
        <v>0.89600000000000002</v>
      </c>
      <c r="I30" s="26">
        <v>0.91300000000000003</v>
      </c>
      <c r="J30" s="25">
        <v>0.93</v>
      </c>
      <c r="K30" s="26">
        <v>0.95599999999999996</v>
      </c>
      <c r="L30" s="25">
        <v>0.97</v>
      </c>
      <c r="M30" s="26">
        <v>0.97899999999999998</v>
      </c>
      <c r="N30" s="25">
        <v>0.98399999999999999</v>
      </c>
      <c r="O30" s="26">
        <v>0.99</v>
      </c>
      <c r="P30" s="25">
        <v>0.99399999999999999</v>
      </c>
      <c r="Q30" s="26">
        <v>0.998</v>
      </c>
      <c r="R30" s="25">
        <v>0.999</v>
      </c>
      <c r="S30" s="26">
        <v>1</v>
      </c>
      <c r="T30" s="86">
        <v>1</v>
      </c>
    </row>
    <row r="31" spans="1:20" s="51" customFormat="1" ht="16" customHeight="1" x14ac:dyDescent="0.3">
      <c r="A31" s="61">
        <v>0.25</v>
      </c>
      <c r="B31" s="28">
        <v>0.745</v>
      </c>
      <c r="C31" s="29">
        <v>0.755</v>
      </c>
      <c r="D31" s="30">
        <v>0.78700000000000003</v>
      </c>
      <c r="E31" s="30">
        <v>0.82799999999999996</v>
      </c>
      <c r="F31" s="29">
        <v>0.85899999999999999</v>
      </c>
      <c r="G31" s="30">
        <v>0.88</v>
      </c>
      <c r="H31" s="29">
        <v>0.89600000000000002</v>
      </c>
      <c r="I31" s="30">
        <v>0.91300000000000003</v>
      </c>
      <c r="J31" s="29">
        <v>0.93</v>
      </c>
      <c r="K31" s="30">
        <v>0.95599999999999996</v>
      </c>
      <c r="L31" s="29">
        <v>0.97</v>
      </c>
      <c r="M31" s="30">
        <v>0.97899999999999998</v>
      </c>
      <c r="N31" s="29">
        <v>0.98399999999999999</v>
      </c>
      <c r="O31" s="30">
        <v>0.99</v>
      </c>
      <c r="P31" s="29">
        <v>0.99399999999999999</v>
      </c>
      <c r="Q31" s="30">
        <v>0.998</v>
      </c>
      <c r="R31" s="29">
        <v>0.999</v>
      </c>
      <c r="S31" s="30">
        <v>1</v>
      </c>
      <c r="T31" s="87">
        <v>1</v>
      </c>
    </row>
    <row r="32" spans="1:20" s="51" customFormat="1" ht="16" customHeight="1" x14ac:dyDescent="0.3">
      <c r="A32" s="62">
        <v>0.5</v>
      </c>
      <c r="B32" s="28">
        <v>0.64900000000000002</v>
      </c>
      <c r="C32" s="29">
        <v>0.67100000000000004</v>
      </c>
      <c r="D32" s="30">
        <v>0.71599999999999997</v>
      </c>
      <c r="E32" s="30">
        <v>0.76400000000000001</v>
      </c>
      <c r="F32" s="29">
        <v>0.8</v>
      </c>
      <c r="G32" s="30">
        <v>0.82499999999999996</v>
      </c>
      <c r="H32" s="29">
        <v>0.84499999999999997</v>
      </c>
      <c r="I32" s="30">
        <v>0.87</v>
      </c>
      <c r="J32" s="29">
        <v>0.89300000000000002</v>
      </c>
      <c r="K32" s="30">
        <v>0.93200000000000005</v>
      </c>
      <c r="L32" s="29">
        <v>0.95299999999999996</v>
      </c>
      <c r="M32" s="30">
        <v>0.96699999999999997</v>
      </c>
      <c r="N32" s="29">
        <v>0.97699999999999998</v>
      </c>
      <c r="O32" s="30">
        <v>0.98599999999999999</v>
      </c>
      <c r="P32" s="29">
        <v>0.99199999999999999</v>
      </c>
      <c r="Q32" s="30">
        <v>0.996</v>
      </c>
      <c r="R32" s="29">
        <v>0.997</v>
      </c>
      <c r="S32" s="30">
        <v>1</v>
      </c>
      <c r="T32" s="87">
        <v>1</v>
      </c>
    </row>
    <row r="33" spans="1:20" s="51" customFormat="1" ht="16" customHeight="1" x14ac:dyDescent="0.3">
      <c r="A33" s="61">
        <v>0.75</v>
      </c>
      <c r="B33" s="28">
        <v>0.64300000000000002</v>
      </c>
      <c r="C33" s="29">
        <v>0.66500000000000004</v>
      </c>
      <c r="D33" s="30">
        <v>0.71199999999999997</v>
      </c>
      <c r="E33" s="30">
        <v>0.76</v>
      </c>
      <c r="F33" s="29">
        <v>0.79500000000000004</v>
      </c>
      <c r="G33" s="30">
        <v>0.82</v>
      </c>
      <c r="H33" s="29">
        <v>0.83899999999999997</v>
      </c>
      <c r="I33" s="30">
        <v>0.86699999999999999</v>
      </c>
      <c r="J33" s="29">
        <v>0.89100000000000001</v>
      </c>
      <c r="K33" s="30">
        <v>0.93</v>
      </c>
      <c r="L33" s="29">
        <v>0.95299999999999996</v>
      </c>
      <c r="M33" s="30">
        <v>0.96499999999999997</v>
      </c>
      <c r="N33" s="29">
        <v>0.97599999999999998</v>
      </c>
      <c r="O33" s="30">
        <v>0.98699999999999999</v>
      </c>
      <c r="P33" s="29">
        <v>0.99299999999999999</v>
      </c>
      <c r="Q33" s="30">
        <v>0.997</v>
      </c>
      <c r="R33" s="29">
        <v>0.998</v>
      </c>
      <c r="S33" s="30">
        <v>1</v>
      </c>
      <c r="T33" s="87">
        <v>1</v>
      </c>
    </row>
    <row r="34" spans="1:20" s="51" customFormat="1" ht="16" customHeight="1" x14ac:dyDescent="0.3">
      <c r="A34" s="61">
        <v>1</v>
      </c>
      <c r="B34" s="32">
        <v>0.64400000000000002</v>
      </c>
      <c r="C34" s="33">
        <v>0.66600000000000004</v>
      </c>
      <c r="D34" s="34">
        <v>0.71299999999999997</v>
      </c>
      <c r="E34" s="34">
        <v>0.76</v>
      </c>
      <c r="F34" s="33">
        <v>0.79400000000000004</v>
      </c>
      <c r="G34" s="34">
        <v>0.82</v>
      </c>
      <c r="H34" s="33">
        <v>0.83799999999999997</v>
      </c>
      <c r="I34" s="34">
        <v>0.86799999999999999</v>
      </c>
      <c r="J34" s="33">
        <v>0.89100000000000001</v>
      </c>
      <c r="K34" s="34">
        <v>0.92800000000000005</v>
      </c>
      <c r="L34" s="33">
        <v>0.95099999999999996</v>
      </c>
      <c r="M34" s="34">
        <v>0.96399999999999997</v>
      </c>
      <c r="N34" s="33">
        <v>0.97499999999999998</v>
      </c>
      <c r="O34" s="34">
        <v>0.98499999999999999</v>
      </c>
      <c r="P34" s="33">
        <v>0.99299999999999999</v>
      </c>
      <c r="Q34" s="34">
        <v>0.997</v>
      </c>
      <c r="R34" s="33">
        <v>0.997</v>
      </c>
      <c r="S34" s="34">
        <v>0.999</v>
      </c>
      <c r="T34" s="88">
        <v>1</v>
      </c>
    </row>
    <row r="35" spans="1:20" s="51" customFormat="1" ht="16" customHeight="1" x14ac:dyDescent="0.3">
      <c r="A35" s="61">
        <v>1.5</v>
      </c>
      <c r="B35" s="28">
        <v>0.65100000000000002</v>
      </c>
      <c r="C35" s="29">
        <v>0.67400000000000004</v>
      </c>
      <c r="D35" s="30">
        <v>0.72299999999999998</v>
      </c>
      <c r="E35" s="30">
        <v>0.76800000000000002</v>
      </c>
      <c r="F35" s="29">
        <v>0.8</v>
      </c>
      <c r="G35" s="30">
        <v>0.82499999999999996</v>
      </c>
      <c r="H35" s="29">
        <v>0.84099999999999997</v>
      </c>
      <c r="I35" s="30">
        <v>0.871</v>
      </c>
      <c r="J35" s="29">
        <v>0.89300000000000002</v>
      </c>
      <c r="K35" s="30">
        <v>0.92700000000000005</v>
      </c>
      <c r="L35" s="29">
        <v>0.95099999999999996</v>
      </c>
      <c r="M35" s="30">
        <v>0.96399999999999997</v>
      </c>
      <c r="N35" s="29">
        <v>0.97399999999999998</v>
      </c>
      <c r="O35" s="30">
        <v>0.98499999999999999</v>
      </c>
      <c r="P35" s="29">
        <v>0.99099999999999999</v>
      </c>
      <c r="Q35" s="30">
        <v>0.996</v>
      </c>
      <c r="R35" s="29">
        <v>0.998</v>
      </c>
      <c r="S35" s="30">
        <v>0.999</v>
      </c>
      <c r="T35" s="87">
        <v>1</v>
      </c>
    </row>
    <row r="36" spans="1:20" s="51" customFormat="1" ht="16" customHeight="1" x14ac:dyDescent="0.3">
      <c r="A36" s="62">
        <v>2</v>
      </c>
      <c r="B36" s="28">
        <v>0.66300000000000003</v>
      </c>
      <c r="C36" s="29">
        <v>0.68600000000000005</v>
      </c>
      <c r="D36" s="30">
        <v>0.73299999999999998</v>
      </c>
      <c r="E36" s="30">
        <v>0.77700000000000002</v>
      </c>
      <c r="F36" s="29">
        <v>0.80600000000000005</v>
      </c>
      <c r="G36" s="30">
        <v>0.82899999999999996</v>
      </c>
      <c r="H36" s="29">
        <v>0.84699999999999998</v>
      </c>
      <c r="I36" s="30">
        <v>0.875</v>
      </c>
      <c r="J36" s="29">
        <v>0.89700000000000002</v>
      </c>
      <c r="K36" s="30">
        <v>0.92900000000000005</v>
      </c>
      <c r="L36" s="29">
        <v>0.95099999999999996</v>
      </c>
      <c r="M36" s="30">
        <v>0.96499999999999997</v>
      </c>
      <c r="N36" s="29">
        <v>0.97399999999999998</v>
      </c>
      <c r="O36" s="30">
        <v>0.98399999999999999</v>
      </c>
      <c r="P36" s="29">
        <v>0.99</v>
      </c>
      <c r="Q36" s="30">
        <v>0.995</v>
      </c>
      <c r="R36" s="29">
        <v>0.996</v>
      </c>
      <c r="S36" s="30">
        <v>0.998</v>
      </c>
      <c r="T36" s="87">
        <v>1</v>
      </c>
    </row>
    <row r="37" spans="1:20" s="51" customFormat="1" ht="16" customHeight="1" x14ac:dyDescent="0.3">
      <c r="A37" s="61">
        <v>3</v>
      </c>
      <c r="B37" s="28">
        <v>0.69199999999999995</v>
      </c>
      <c r="C37" s="29">
        <v>0.71099999999999997</v>
      </c>
      <c r="D37" s="30">
        <v>0.755</v>
      </c>
      <c r="E37" s="30">
        <v>0.79500000000000004</v>
      </c>
      <c r="F37" s="29">
        <v>0.82099999999999995</v>
      </c>
      <c r="G37" s="30">
        <v>0.84299999999999997</v>
      </c>
      <c r="H37" s="29">
        <v>0.85899999999999999</v>
      </c>
      <c r="I37" s="30">
        <v>0.88400000000000001</v>
      </c>
      <c r="J37" s="29">
        <v>0.90400000000000003</v>
      </c>
      <c r="K37" s="30">
        <v>0.93400000000000005</v>
      </c>
      <c r="L37" s="29">
        <v>0.95399999999999996</v>
      </c>
      <c r="M37" s="30">
        <v>0.96599999999999997</v>
      </c>
      <c r="N37" s="29">
        <v>0.97599999999999998</v>
      </c>
      <c r="O37" s="30">
        <v>0.98599999999999999</v>
      </c>
      <c r="P37" s="29">
        <v>0.99099999999999999</v>
      </c>
      <c r="Q37" s="30">
        <v>0.996</v>
      </c>
      <c r="R37" s="29">
        <v>0.998</v>
      </c>
      <c r="S37" s="30">
        <v>0.998</v>
      </c>
      <c r="T37" s="87">
        <v>1</v>
      </c>
    </row>
    <row r="38" spans="1:20" s="51" customFormat="1" ht="16" customHeight="1" x14ac:dyDescent="0.3">
      <c r="A38" s="61">
        <v>4</v>
      </c>
      <c r="B38" s="32">
        <v>0.71299999999999997</v>
      </c>
      <c r="C38" s="33">
        <v>0.73499999999999999</v>
      </c>
      <c r="D38" s="34">
        <v>0.77500000000000002</v>
      </c>
      <c r="E38" s="34">
        <v>0.81</v>
      </c>
      <c r="F38" s="33">
        <v>0.83599999999999997</v>
      </c>
      <c r="G38" s="34">
        <v>0.85599999999999998</v>
      </c>
      <c r="H38" s="33">
        <v>0.87</v>
      </c>
      <c r="I38" s="34">
        <v>0.89300000000000002</v>
      </c>
      <c r="J38" s="33">
        <v>0.91</v>
      </c>
      <c r="K38" s="34">
        <v>0.93899999999999995</v>
      </c>
      <c r="L38" s="33">
        <v>0.95699999999999996</v>
      </c>
      <c r="M38" s="34">
        <v>0.97</v>
      </c>
      <c r="N38" s="33">
        <v>0.97699999999999998</v>
      </c>
      <c r="O38" s="34">
        <v>0.98699999999999999</v>
      </c>
      <c r="P38" s="33">
        <v>0.99199999999999999</v>
      </c>
      <c r="Q38" s="34">
        <v>0.997</v>
      </c>
      <c r="R38" s="33">
        <v>0.998</v>
      </c>
      <c r="S38" s="34">
        <v>0.999</v>
      </c>
      <c r="T38" s="88">
        <v>1</v>
      </c>
    </row>
    <row r="39" spans="1:20" s="51" customFormat="1" ht="16" customHeight="1" x14ac:dyDescent="0.3">
      <c r="A39" s="61">
        <v>5</v>
      </c>
      <c r="B39" s="28">
        <v>0.74399999999999999</v>
      </c>
      <c r="C39" s="29">
        <v>0.75900000000000001</v>
      </c>
      <c r="D39" s="30">
        <v>0.79400000000000004</v>
      </c>
      <c r="E39" s="30">
        <v>0.82699999999999996</v>
      </c>
      <c r="F39" s="29">
        <v>0.84799999999999998</v>
      </c>
      <c r="G39" s="30">
        <v>0.86499999999999999</v>
      </c>
      <c r="H39" s="29">
        <v>0.879</v>
      </c>
      <c r="I39" s="30">
        <v>0.9</v>
      </c>
      <c r="J39" s="29">
        <v>0.91800000000000004</v>
      </c>
      <c r="K39" s="30">
        <v>0.94499999999999995</v>
      </c>
      <c r="L39" s="29">
        <v>0.96</v>
      </c>
      <c r="M39" s="30">
        <v>0.97199999999999998</v>
      </c>
      <c r="N39" s="29">
        <v>0.97899999999999998</v>
      </c>
      <c r="O39" s="30">
        <v>0.98799999999999999</v>
      </c>
      <c r="P39" s="29">
        <v>0.99399999999999999</v>
      </c>
      <c r="Q39" s="30">
        <v>0.998</v>
      </c>
      <c r="R39" s="29">
        <v>1</v>
      </c>
      <c r="S39" s="30">
        <v>1.0009999999999999</v>
      </c>
      <c r="T39" s="87">
        <v>1</v>
      </c>
    </row>
    <row r="40" spans="1:20" s="51" customFormat="1" ht="16" customHeight="1" x14ac:dyDescent="0.3">
      <c r="A40" s="62">
        <v>6</v>
      </c>
      <c r="B40" s="28">
        <v>0.76600000000000001</v>
      </c>
      <c r="C40" s="29">
        <v>0.78200000000000003</v>
      </c>
      <c r="D40" s="30">
        <v>0.81200000000000006</v>
      </c>
      <c r="E40" s="30">
        <v>0.83899999999999997</v>
      </c>
      <c r="F40" s="29">
        <v>0.85899999999999999</v>
      </c>
      <c r="G40" s="30">
        <v>0.875</v>
      </c>
      <c r="H40" s="29">
        <v>0.88800000000000001</v>
      </c>
      <c r="I40" s="30">
        <v>0.90400000000000003</v>
      </c>
      <c r="J40" s="29">
        <v>0.92100000000000004</v>
      </c>
      <c r="K40" s="30">
        <v>0.94599999999999995</v>
      </c>
      <c r="L40" s="29">
        <v>0.96299999999999997</v>
      </c>
      <c r="M40" s="30">
        <v>0.97199999999999998</v>
      </c>
      <c r="N40" s="29">
        <v>0.97799999999999998</v>
      </c>
      <c r="O40" s="30">
        <v>0.98699999999999999</v>
      </c>
      <c r="P40" s="29">
        <v>0.99399999999999999</v>
      </c>
      <c r="Q40" s="30">
        <v>0.998</v>
      </c>
      <c r="R40" s="29">
        <v>0.999</v>
      </c>
      <c r="S40" s="30">
        <v>1</v>
      </c>
      <c r="T40" s="87">
        <v>1</v>
      </c>
    </row>
    <row r="41" spans="1:20" s="51" customFormat="1" ht="16" customHeight="1" x14ac:dyDescent="0.3">
      <c r="A41" s="61">
        <v>7</v>
      </c>
      <c r="B41" s="28">
        <v>0.78300000000000003</v>
      </c>
      <c r="C41" s="29">
        <v>0.79300000000000004</v>
      </c>
      <c r="D41" s="30">
        <v>0.82299999999999995</v>
      </c>
      <c r="E41" s="30">
        <v>0.85</v>
      </c>
      <c r="F41" s="29">
        <v>0.86599999999999999</v>
      </c>
      <c r="G41" s="30">
        <v>0.88200000000000001</v>
      </c>
      <c r="H41" s="29">
        <v>0.89300000000000002</v>
      </c>
      <c r="I41" s="30">
        <v>0.91</v>
      </c>
      <c r="J41" s="29">
        <v>0.92500000000000004</v>
      </c>
      <c r="K41" s="30">
        <v>0.94899999999999995</v>
      </c>
      <c r="L41" s="29">
        <v>0.96299999999999997</v>
      </c>
      <c r="M41" s="30">
        <v>0.97299999999999998</v>
      </c>
      <c r="N41" s="29">
        <v>0.97899999999999998</v>
      </c>
      <c r="O41" s="30">
        <v>0.98899999999999999</v>
      </c>
      <c r="P41" s="29">
        <v>0.99399999999999999</v>
      </c>
      <c r="Q41" s="30">
        <v>0.998</v>
      </c>
      <c r="R41" s="29">
        <v>0.999</v>
      </c>
      <c r="S41" s="30">
        <v>1</v>
      </c>
      <c r="T41" s="87">
        <v>1</v>
      </c>
    </row>
    <row r="42" spans="1:20" s="51" customFormat="1" ht="16" customHeight="1" x14ac:dyDescent="0.3">
      <c r="A42" s="62">
        <v>8</v>
      </c>
      <c r="B42" s="28">
        <v>0.79300000000000004</v>
      </c>
      <c r="C42" s="29">
        <v>0.80800000000000005</v>
      </c>
      <c r="D42" s="30">
        <v>0.83699999999999997</v>
      </c>
      <c r="E42" s="30">
        <v>0.86099999999999999</v>
      </c>
      <c r="F42" s="29">
        <v>0.876</v>
      </c>
      <c r="G42" s="30">
        <v>0.89</v>
      </c>
      <c r="H42" s="29">
        <v>0.90200000000000002</v>
      </c>
      <c r="I42" s="30">
        <v>0.91700000000000004</v>
      </c>
      <c r="J42" s="29">
        <v>0.93</v>
      </c>
      <c r="K42" s="30">
        <v>0.95199999999999996</v>
      </c>
      <c r="L42" s="29">
        <v>0.96599999999999997</v>
      </c>
      <c r="M42" s="30">
        <v>0.97399999999999998</v>
      </c>
      <c r="N42" s="29">
        <v>0.98099999999999998</v>
      </c>
      <c r="O42" s="30">
        <v>0.98799999999999999</v>
      </c>
      <c r="P42" s="29">
        <v>0.99399999999999999</v>
      </c>
      <c r="Q42" s="30">
        <v>0.998</v>
      </c>
      <c r="R42" s="29">
        <v>0.998</v>
      </c>
      <c r="S42" s="30">
        <v>0.999</v>
      </c>
      <c r="T42" s="87">
        <v>1</v>
      </c>
    </row>
    <row r="43" spans="1:20" s="51" customFormat="1" ht="16" customHeight="1" thickBot="1" x14ac:dyDescent="0.35">
      <c r="A43" s="83">
        <v>10</v>
      </c>
      <c r="B43" s="89">
        <v>0.82199999999999995</v>
      </c>
      <c r="C43" s="90">
        <v>0.83199999999999996</v>
      </c>
      <c r="D43" s="90">
        <v>0.85499999999999998</v>
      </c>
      <c r="E43" s="90">
        <v>0.877</v>
      </c>
      <c r="F43" s="90">
        <v>0.89300000000000002</v>
      </c>
      <c r="G43" s="90">
        <v>0.90500000000000003</v>
      </c>
      <c r="H43" s="90">
        <v>0.91200000000000003</v>
      </c>
      <c r="I43" s="90">
        <v>0.92400000000000004</v>
      </c>
      <c r="J43" s="90">
        <v>0.93600000000000005</v>
      </c>
      <c r="K43" s="90">
        <v>0.95699999999999996</v>
      </c>
      <c r="L43" s="90">
        <v>0.96899999999999997</v>
      </c>
      <c r="M43" s="90">
        <v>0.97699999999999998</v>
      </c>
      <c r="N43" s="90">
        <v>0.98299999999999998</v>
      </c>
      <c r="O43" s="90">
        <v>0.99</v>
      </c>
      <c r="P43" s="90">
        <v>0.995</v>
      </c>
      <c r="Q43" s="90">
        <v>0.998</v>
      </c>
      <c r="R43" s="90">
        <v>0.999</v>
      </c>
      <c r="S43" s="91">
        <v>1</v>
      </c>
      <c r="T43" s="92">
        <v>1</v>
      </c>
    </row>
    <row r="44" spans="1:20" s="51" customFormat="1" ht="16" customHeight="1" x14ac:dyDescent="0.3">
      <c r="P44" s="54"/>
    </row>
    <row r="45" spans="1:20" s="51" customFormat="1" ht="20.25" customHeight="1" x14ac:dyDescent="0.3">
      <c r="A45" s="96"/>
      <c r="B45" s="10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54"/>
    </row>
    <row r="46" spans="1:20" s="51" customFormat="1" ht="16" customHeight="1" x14ac:dyDescent="0.3">
      <c r="A46" s="99"/>
      <c r="B46" s="100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54"/>
    </row>
    <row r="47" spans="1:20" s="51" customFormat="1" ht="16" customHeight="1" x14ac:dyDescent="0.3">
      <c r="A47" s="99"/>
      <c r="B47" s="100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54"/>
    </row>
    <row r="48" spans="1:20" s="51" customFormat="1" ht="16" customHeight="1" x14ac:dyDescent="0.3">
      <c r="A48" s="99"/>
      <c r="B48" s="100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</row>
    <row r="49" spans="1:22" s="51" customFormat="1" ht="16" customHeight="1" x14ac:dyDescent="0.3">
      <c r="A49" s="99"/>
      <c r="B49" s="100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</row>
    <row r="50" spans="1:22" s="51" customFormat="1" ht="16" customHeight="1" x14ac:dyDescent="0.3">
      <c r="A50" s="99"/>
      <c r="B50" s="100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</row>
    <row r="51" spans="1:22" s="51" customFormat="1" ht="16" customHeight="1" x14ac:dyDescent="0.3">
      <c r="A51" s="99"/>
      <c r="B51" s="100"/>
      <c r="C51" s="42"/>
      <c r="D51" s="42"/>
      <c r="E51" s="42"/>
      <c r="F51" s="42"/>
      <c r="G51" s="42"/>
      <c r="H51" s="42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6" customHeight="1" x14ac:dyDescent="0.3">
      <c r="A52" s="102"/>
      <c r="B52" s="42"/>
      <c r="C52" s="5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1:22" ht="16" customHeight="1" x14ac:dyDescent="0.3">
      <c r="A53" s="102"/>
      <c r="B53" s="42"/>
      <c r="C53" s="5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1:22" ht="16" customHeight="1" x14ac:dyDescent="0.3">
      <c r="A54" s="102"/>
      <c r="B54" s="42"/>
      <c r="C54" s="5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</row>
    <row r="55" spans="1:22" ht="16" customHeight="1" x14ac:dyDescent="0.3">
      <c r="A55" s="102"/>
      <c r="B55" s="42"/>
      <c r="C55" s="5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</row>
    <row r="56" spans="1:22" ht="16" customHeight="1" x14ac:dyDescent="0.3">
      <c r="A56" s="102"/>
      <c r="B56" s="42"/>
      <c r="C56" s="5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1:22" ht="16" customHeight="1" x14ac:dyDescent="0.3">
      <c r="A57" s="102"/>
      <c r="B57" s="42"/>
      <c r="C57" s="5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1:22" ht="16" customHeight="1" x14ac:dyDescent="0.3">
      <c r="A58" s="102"/>
      <c r="B58" s="42"/>
      <c r="C58" s="5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1:22" ht="16" customHeight="1" x14ac:dyDescent="0.3"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1:22" ht="16" customHeight="1" x14ac:dyDescent="0.3"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</row>
    <row r="61" spans="1:22" ht="16" customHeight="1" x14ac:dyDescent="0.3"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1:22" ht="16" customHeight="1" x14ac:dyDescent="0.3"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1:22" ht="16" customHeight="1" x14ac:dyDescent="0.3"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1:22" ht="16" customHeight="1" x14ac:dyDescent="0.3"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</row>
    <row r="65" spans="9:22" x14ac:dyDescent="0.3"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</row>
    <row r="66" spans="9:22" x14ac:dyDescent="0.3"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</row>
    <row r="67" spans="9:22" x14ac:dyDescent="0.3"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</row>
    <row r="68" spans="9:22" x14ac:dyDescent="0.3"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9:22" x14ac:dyDescent="0.3"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9:22" x14ac:dyDescent="0.3"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9:22" x14ac:dyDescent="0.3"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</row>
  </sheetData>
  <mergeCells count="12">
    <mergeCell ref="A1:E1"/>
    <mergeCell ref="B2:F2"/>
    <mergeCell ref="I3:K3"/>
    <mergeCell ref="I4:I5"/>
    <mergeCell ref="J4:J5"/>
    <mergeCell ref="K4:K5"/>
    <mergeCell ref="B28:T28"/>
    <mergeCell ref="A7:D7"/>
    <mergeCell ref="H12:J12"/>
    <mergeCell ref="L14:L15"/>
    <mergeCell ref="F17:H18"/>
    <mergeCell ref="J14:K14"/>
  </mergeCell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66"/>
  <sheetViews>
    <sheetView showGridLines="0" workbookViewId="0">
      <selection activeCell="J28" sqref="J28"/>
    </sheetView>
  </sheetViews>
  <sheetFormatPr defaultColWidth="9.15234375" defaultRowHeight="12.45" x14ac:dyDescent="0.3"/>
  <cols>
    <col min="1" max="15" width="10.69140625" style="20" customWidth="1"/>
    <col min="16" max="16384" width="9.15234375" style="20"/>
  </cols>
  <sheetData>
    <row r="1" spans="1:12" ht="36.75" customHeight="1" x14ac:dyDescent="0.3">
      <c r="A1" s="552" t="s">
        <v>20</v>
      </c>
      <c r="B1" s="487"/>
      <c r="C1" s="487"/>
      <c r="D1" s="487"/>
      <c r="E1" s="487"/>
    </row>
    <row r="2" spans="1:12" ht="18.75" customHeight="1" x14ac:dyDescent="0.3">
      <c r="A2" s="66" t="s">
        <v>32</v>
      </c>
      <c r="B2" s="538" t="s">
        <v>33</v>
      </c>
      <c r="C2" s="553"/>
      <c r="D2" s="553"/>
      <c r="E2" s="553"/>
      <c r="F2" s="553"/>
    </row>
    <row r="3" spans="1:12" ht="16" customHeight="1" thickBot="1" x14ac:dyDescent="0.35">
      <c r="A3" s="49"/>
      <c r="B3" s="7"/>
      <c r="D3" s="7"/>
      <c r="I3" s="540" t="s">
        <v>12</v>
      </c>
      <c r="J3" s="540"/>
      <c r="K3" s="540"/>
    </row>
    <row r="4" spans="1:12" ht="16" customHeight="1" thickBot="1" x14ac:dyDescent="0.35">
      <c r="A4" s="5" t="s">
        <v>4</v>
      </c>
      <c r="B4" s="73">
        <v>0.96499999999999997</v>
      </c>
      <c r="C4" s="50" t="s">
        <v>5</v>
      </c>
      <c r="D4" s="51"/>
      <c r="E4" s="6" t="s">
        <v>6</v>
      </c>
      <c r="F4" s="14">
        <v>1.27</v>
      </c>
      <c r="I4" s="541" t="s">
        <v>13</v>
      </c>
      <c r="J4" s="543" t="s">
        <v>14</v>
      </c>
      <c r="K4" s="545" t="s">
        <v>15</v>
      </c>
    </row>
    <row r="5" spans="1:12" ht="16" customHeight="1" thickBot="1" x14ac:dyDescent="0.35">
      <c r="A5" s="6" t="s">
        <v>7</v>
      </c>
      <c r="B5" s="74">
        <v>59.4</v>
      </c>
      <c r="C5" s="50" t="s">
        <v>8</v>
      </c>
      <c r="D5" s="7"/>
      <c r="E5" s="15" t="s">
        <v>9</v>
      </c>
      <c r="F5" s="16">
        <f>LN(2)/(B5*24)</f>
        <v>4.8621435224463055E-4</v>
      </c>
      <c r="G5" s="50" t="s">
        <v>17</v>
      </c>
      <c r="I5" s="554"/>
      <c r="J5" s="555"/>
      <c r="K5" s="556"/>
    </row>
    <row r="6" spans="1:12" ht="16" customHeight="1" thickBot="1" x14ac:dyDescent="0.35">
      <c r="I6" s="17">
        <v>0.8</v>
      </c>
      <c r="J6" s="18">
        <v>4.5</v>
      </c>
      <c r="K6" s="19">
        <v>3</v>
      </c>
    </row>
    <row r="7" spans="1:12" ht="18.75" customHeight="1" thickBot="1" x14ac:dyDescent="0.35">
      <c r="A7" s="557" t="s">
        <v>18</v>
      </c>
      <c r="B7" s="557"/>
      <c r="C7" s="486"/>
      <c r="D7" s="558"/>
      <c r="E7" s="559"/>
    </row>
    <row r="8" spans="1:12" ht="22.5" customHeight="1" thickBot="1" x14ac:dyDescent="0.35">
      <c r="A8" s="115" t="s">
        <v>24</v>
      </c>
      <c r="B8" s="113" t="s">
        <v>19</v>
      </c>
      <c r="C8" s="53"/>
      <c r="D8" s="104" t="s">
        <v>24</v>
      </c>
      <c r="E8" s="113" t="s">
        <v>21</v>
      </c>
    </row>
    <row r="9" spans="1:12" s="51" customFormat="1" ht="16" customHeight="1" x14ac:dyDescent="0.3">
      <c r="A9" s="105">
        <v>0</v>
      </c>
      <c r="B9" s="109">
        <v>0.69599999999999995</v>
      </c>
      <c r="D9" s="105">
        <v>0</v>
      </c>
      <c r="E9" s="109">
        <v>1.0549999999999999</v>
      </c>
    </row>
    <row r="10" spans="1:12" s="51" customFormat="1" ht="16" customHeight="1" x14ac:dyDescent="0.3">
      <c r="A10" s="106">
        <v>0.1</v>
      </c>
      <c r="B10" s="110">
        <v>0.69599999999999995</v>
      </c>
      <c r="D10" s="106">
        <v>0.1</v>
      </c>
      <c r="E10" s="110">
        <v>1.0549999999999999</v>
      </c>
      <c r="I10" s="10"/>
    </row>
    <row r="11" spans="1:12" s="51" customFormat="1" ht="16" customHeight="1" x14ac:dyDescent="0.3">
      <c r="A11" s="106">
        <v>0.15</v>
      </c>
      <c r="B11" s="110">
        <v>0.85299999999999998</v>
      </c>
      <c r="D11" s="106">
        <v>0.15</v>
      </c>
      <c r="E11" s="110">
        <v>1.0780000000000001</v>
      </c>
      <c r="I11" s="8"/>
    </row>
    <row r="12" spans="1:12" s="51" customFormat="1" ht="16" customHeight="1" x14ac:dyDescent="0.3">
      <c r="A12" s="106">
        <v>0.25</v>
      </c>
      <c r="B12" s="110">
        <v>0.98199999999999998</v>
      </c>
      <c r="D12" s="106">
        <v>0.25</v>
      </c>
      <c r="E12" s="110">
        <v>1.0820000000000001</v>
      </c>
      <c r="H12" s="408" t="s">
        <v>0</v>
      </c>
      <c r="I12" s="409"/>
      <c r="J12" s="409"/>
      <c r="K12" s="1"/>
      <c r="L12" s="1"/>
    </row>
    <row r="13" spans="1:12" s="51" customFormat="1" ht="16" customHeight="1" thickBot="1" x14ac:dyDescent="0.35">
      <c r="A13" s="106">
        <v>0.5</v>
      </c>
      <c r="B13" s="110">
        <v>1.048</v>
      </c>
      <c r="D13" s="106">
        <v>0.5</v>
      </c>
      <c r="E13" s="110">
        <v>1.071</v>
      </c>
      <c r="H13" s="1"/>
      <c r="I13" s="1"/>
      <c r="J13" s="1"/>
      <c r="K13" s="1"/>
      <c r="L13" s="1"/>
    </row>
    <row r="14" spans="1:12" s="51" customFormat="1" ht="16" customHeight="1" x14ac:dyDescent="0.3">
      <c r="A14" s="106">
        <v>0.75</v>
      </c>
      <c r="B14" s="110">
        <v>1.036</v>
      </c>
      <c r="D14" s="106">
        <v>0.75</v>
      </c>
      <c r="E14" s="110">
        <v>1.042</v>
      </c>
      <c r="G14" s="143"/>
      <c r="H14" s="346"/>
      <c r="I14" s="401" t="s">
        <v>1</v>
      </c>
      <c r="J14" s="456"/>
      <c r="K14" s="456"/>
      <c r="L14" s="457"/>
    </row>
    <row r="15" spans="1:12" s="51" customFormat="1" ht="16" customHeight="1" thickBot="1" x14ac:dyDescent="0.35">
      <c r="A15" s="106">
        <v>1</v>
      </c>
      <c r="B15" s="110">
        <v>1</v>
      </c>
      <c r="D15" s="106">
        <v>1</v>
      </c>
      <c r="E15" s="110">
        <v>1</v>
      </c>
      <c r="G15" s="348" t="s">
        <v>30</v>
      </c>
      <c r="H15" s="350" t="s">
        <v>29</v>
      </c>
      <c r="I15" s="21" t="s">
        <v>22</v>
      </c>
      <c r="J15" s="22" t="s">
        <v>23</v>
      </c>
      <c r="K15" s="23" t="s">
        <v>28</v>
      </c>
      <c r="L15" s="71" t="s">
        <v>31</v>
      </c>
    </row>
    <row r="16" spans="1:12" s="51" customFormat="1" ht="16" customHeight="1" thickBot="1" x14ac:dyDescent="0.35">
      <c r="A16" s="106">
        <v>1.25</v>
      </c>
      <c r="B16" s="110">
        <v>0.95599999999999996</v>
      </c>
      <c r="D16" s="106">
        <v>1.25</v>
      </c>
      <c r="E16" s="110">
        <v>0.95399999999999996</v>
      </c>
      <c r="F16" s="54"/>
      <c r="G16" s="67">
        <v>2</v>
      </c>
      <c r="H16" s="95">
        <v>10</v>
      </c>
      <c r="I16" s="12">
        <f>Interpolate1DTable(G16,$A$9:$B$28)</f>
        <v>0.81899999999999995</v>
      </c>
      <c r="J16" s="13">
        <f>Interpolate1DTable(G16,$D$9:$E$28)</f>
        <v>0.81399999999999995</v>
      </c>
      <c r="K16" s="103">
        <f>Interpolate1DTable(G16,$A$48:$B$53)</f>
        <v>0.94099999999999995</v>
      </c>
      <c r="L16" s="72">
        <f>Interpolate2DTable(H21,H16,$A$32:$U$45)</f>
        <v>0.51900000000000002</v>
      </c>
    </row>
    <row r="17" spans="1:21" s="51" customFormat="1" ht="16" customHeight="1" x14ac:dyDescent="0.3">
      <c r="A17" s="106">
        <v>1.5</v>
      </c>
      <c r="B17" s="110">
        <v>0.91200000000000003</v>
      </c>
      <c r="D17" s="106">
        <v>1.5</v>
      </c>
      <c r="E17" s="110">
        <v>0.90800000000000003</v>
      </c>
      <c r="F17" s="530"/>
      <c r="G17" s="530"/>
      <c r="H17" s="530"/>
    </row>
    <row r="18" spans="1:21" s="51" customFormat="1" ht="16" customHeight="1" x14ac:dyDescent="0.3">
      <c r="A18" s="106">
        <v>2</v>
      </c>
      <c r="B18" s="110">
        <v>0.81899999999999995</v>
      </c>
      <c r="D18" s="106">
        <v>2</v>
      </c>
      <c r="E18" s="110">
        <v>0.81399999999999995</v>
      </c>
      <c r="F18" s="530"/>
      <c r="G18" s="530"/>
      <c r="H18" s="530"/>
    </row>
    <row r="19" spans="1:21" s="51" customFormat="1" ht="16" customHeight="1" x14ac:dyDescent="0.3">
      <c r="A19" s="106">
        <v>2.5</v>
      </c>
      <c r="B19" s="110">
        <v>0.72750000000000004</v>
      </c>
      <c r="D19" s="106">
        <v>2.5</v>
      </c>
      <c r="E19" s="110">
        <v>0.72299999999999998</v>
      </c>
      <c r="F19" s="54"/>
      <c r="G19" s="54"/>
      <c r="H19" s="4"/>
      <c r="I19" s="2"/>
      <c r="J19" s="2"/>
      <c r="K19" s="68"/>
    </row>
    <row r="20" spans="1:21" s="51" customFormat="1" ht="16" customHeight="1" x14ac:dyDescent="0.3">
      <c r="A20" s="106">
        <v>3</v>
      </c>
      <c r="B20" s="110">
        <v>0.63600000000000001</v>
      </c>
      <c r="D20" s="106">
        <v>3</v>
      </c>
      <c r="E20" s="110">
        <v>0.63200000000000001</v>
      </c>
      <c r="F20" s="55"/>
      <c r="G20" s="9"/>
      <c r="H20" s="3"/>
      <c r="I20" s="54"/>
      <c r="J20" s="54"/>
      <c r="K20" s="69"/>
    </row>
    <row r="21" spans="1:21" s="51" customFormat="1" ht="16" customHeight="1" x14ac:dyDescent="0.3">
      <c r="A21" s="106">
        <v>3.5</v>
      </c>
      <c r="B21" s="110">
        <v>0.5675</v>
      </c>
      <c r="D21" s="106">
        <v>3.5</v>
      </c>
      <c r="E21" s="110">
        <v>0.56400000000000006</v>
      </c>
      <c r="F21" s="55"/>
      <c r="G21" s="9"/>
      <c r="H21" s="93"/>
      <c r="I21" s="54"/>
      <c r="J21" s="54"/>
      <c r="K21" s="70"/>
    </row>
    <row r="22" spans="1:21" s="51" customFormat="1" ht="16" customHeight="1" x14ac:dyDescent="0.3">
      <c r="A22" s="106">
        <v>4</v>
      </c>
      <c r="B22" s="110">
        <v>0.499</v>
      </c>
      <c r="D22" s="106">
        <v>4</v>
      </c>
      <c r="E22" s="110">
        <v>0.496</v>
      </c>
      <c r="F22" s="54"/>
      <c r="G22" s="54"/>
      <c r="H22" s="54"/>
    </row>
    <row r="23" spans="1:21" s="51" customFormat="1" ht="16" customHeight="1" x14ac:dyDescent="0.3">
      <c r="A23" s="106">
        <v>5</v>
      </c>
      <c r="B23" s="110">
        <v>0.36699999999999999</v>
      </c>
      <c r="D23" s="106">
        <v>5</v>
      </c>
      <c r="E23" s="110">
        <v>0.36399999999999999</v>
      </c>
      <c r="F23" s="54"/>
      <c r="G23" s="54"/>
      <c r="H23" s="54"/>
    </row>
    <row r="24" spans="1:21" s="51" customFormat="1" ht="16" customHeight="1" x14ac:dyDescent="0.3">
      <c r="A24" s="106">
        <v>6</v>
      </c>
      <c r="B24" s="110">
        <v>0.27200000000000002</v>
      </c>
      <c r="D24" s="106">
        <v>6</v>
      </c>
      <c r="E24" s="110">
        <v>0.27</v>
      </c>
    </row>
    <row r="25" spans="1:21" s="51" customFormat="1" ht="16" customHeight="1" x14ac:dyDescent="0.3">
      <c r="A25" s="106">
        <v>7</v>
      </c>
      <c r="B25" s="110">
        <v>0.2</v>
      </c>
      <c r="D25" s="106">
        <v>7</v>
      </c>
      <c r="E25" s="110">
        <v>0.19900000000000001</v>
      </c>
    </row>
    <row r="26" spans="1:21" s="51" customFormat="1" ht="16" customHeight="1" x14ac:dyDescent="0.3">
      <c r="A26" s="106">
        <v>8</v>
      </c>
      <c r="B26" s="110">
        <v>0.14899999999999999</v>
      </c>
      <c r="D26" s="106">
        <v>8</v>
      </c>
      <c r="E26" s="110">
        <v>0.14799999999999999</v>
      </c>
    </row>
    <row r="27" spans="1:21" s="51" customFormat="1" ht="16" customHeight="1" x14ac:dyDescent="0.3">
      <c r="A27" s="106">
        <v>9</v>
      </c>
      <c r="B27" s="110">
        <v>0.11</v>
      </c>
      <c r="D27" s="106">
        <v>9</v>
      </c>
      <c r="E27" s="110">
        <v>0.109</v>
      </c>
    </row>
    <row r="28" spans="1:21" s="51" customFormat="1" ht="16" customHeight="1" thickBot="1" x14ac:dyDescent="0.35">
      <c r="A28" s="112">
        <v>10</v>
      </c>
      <c r="B28" s="114">
        <v>8.09E-2</v>
      </c>
      <c r="D28" s="112">
        <v>10</v>
      </c>
      <c r="E28" s="114">
        <v>8.0299999999999996E-2</v>
      </c>
    </row>
    <row r="29" spans="1:21" s="51" customFormat="1" ht="16" customHeight="1" x14ac:dyDescent="0.3"/>
    <row r="30" spans="1:21" s="51" customFormat="1" ht="21.75" customHeight="1" thickBot="1" x14ac:dyDescent="0.35">
      <c r="A30" s="56" t="s">
        <v>16</v>
      </c>
    </row>
    <row r="31" spans="1:21" s="51" customFormat="1" ht="19.5" customHeight="1" thickBot="1" x14ac:dyDescent="0.35">
      <c r="A31" s="57" t="s">
        <v>25</v>
      </c>
      <c r="B31" s="547" t="s">
        <v>26</v>
      </c>
      <c r="C31" s="548"/>
      <c r="D31" s="548"/>
      <c r="E31" s="548"/>
      <c r="F31" s="548"/>
      <c r="G31" s="548"/>
      <c r="H31" s="548"/>
      <c r="I31" s="548"/>
      <c r="J31" s="548"/>
      <c r="K31" s="548"/>
      <c r="L31" s="548"/>
      <c r="M31" s="548"/>
      <c r="N31" s="548"/>
      <c r="O31" s="549"/>
      <c r="P31" s="549"/>
      <c r="Q31" s="549"/>
      <c r="R31" s="549"/>
      <c r="S31" s="549"/>
      <c r="T31" s="549"/>
      <c r="U31" s="550"/>
    </row>
    <row r="32" spans="1:21" s="51" customFormat="1" ht="16" customHeight="1" thickBot="1" x14ac:dyDescent="0.35">
      <c r="A32" s="60" t="s">
        <v>11</v>
      </c>
      <c r="B32" s="63">
        <v>0</v>
      </c>
      <c r="C32" s="64">
        <v>2.5</v>
      </c>
      <c r="D32" s="64">
        <v>5</v>
      </c>
      <c r="E32" s="64">
        <v>10</v>
      </c>
      <c r="F32" s="64">
        <v>15</v>
      </c>
      <c r="G32" s="64">
        <v>20</v>
      </c>
      <c r="H32" s="64">
        <v>25</v>
      </c>
      <c r="I32" s="64">
        <v>30</v>
      </c>
      <c r="J32" s="64">
        <v>35</v>
      </c>
      <c r="K32" s="64">
        <v>40</v>
      </c>
      <c r="L32" s="64">
        <v>45</v>
      </c>
      <c r="M32" s="64">
        <v>50</v>
      </c>
      <c r="N32" s="64">
        <v>55</v>
      </c>
      <c r="O32" s="64">
        <v>60</v>
      </c>
      <c r="P32" s="64">
        <v>65</v>
      </c>
      <c r="Q32" s="64">
        <v>70</v>
      </c>
      <c r="R32" s="64">
        <v>75</v>
      </c>
      <c r="S32" s="64">
        <v>80</v>
      </c>
      <c r="T32" s="64">
        <v>85</v>
      </c>
      <c r="U32" s="65">
        <v>90</v>
      </c>
    </row>
    <row r="33" spans="1:21" s="51" customFormat="1" ht="16" customHeight="1" x14ac:dyDescent="0.3">
      <c r="A33" s="61">
        <v>0.5</v>
      </c>
      <c r="B33" s="24">
        <v>0.33300000000000002</v>
      </c>
      <c r="C33" s="25">
        <v>0.36650000000000005</v>
      </c>
      <c r="D33" s="26">
        <v>0.4</v>
      </c>
      <c r="E33" s="26">
        <v>0.51900000000000002</v>
      </c>
      <c r="F33" s="25">
        <v>0.61749999999999994</v>
      </c>
      <c r="G33" s="26">
        <v>0.71599999999999997</v>
      </c>
      <c r="H33" s="25">
        <v>0.78099999999999992</v>
      </c>
      <c r="I33" s="26">
        <v>0.84599999999999997</v>
      </c>
      <c r="J33" s="25">
        <v>0.88600000000000001</v>
      </c>
      <c r="K33" s="26">
        <v>0.92600000000000005</v>
      </c>
      <c r="L33" s="25">
        <v>0.94900000000000007</v>
      </c>
      <c r="M33" s="26">
        <v>0.97199999999999998</v>
      </c>
      <c r="N33" s="25">
        <v>0.98150000000000004</v>
      </c>
      <c r="O33" s="26">
        <v>0.99099999999999999</v>
      </c>
      <c r="P33" s="25">
        <v>0.99350000000000005</v>
      </c>
      <c r="Q33" s="26">
        <v>0.996</v>
      </c>
      <c r="R33" s="25">
        <v>0.998</v>
      </c>
      <c r="S33" s="26">
        <v>1</v>
      </c>
      <c r="T33" s="25">
        <v>1</v>
      </c>
      <c r="U33" s="27">
        <v>1</v>
      </c>
    </row>
    <row r="34" spans="1:21" s="51" customFormat="1" ht="16" customHeight="1" x14ac:dyDescent="0.3">
      <c r="A34" s="61">
        <v>0.75</v>
      </c>
      <c r="B34" s="28">
        <v>0.35150000000000003</v>
      </c>
      <c r="C34" s="29">
        <v>0.38300000000000001</v>
      </c>
      <c r="D34" s="30">
        <v>0.41449999999999998</v>
      </c>
      <c r="E34" s="30">
        <v>0.52800000000000002</v>
      </c>
      <c r="F34" s="29">
        <v>0.61924999999999997</v>
      </c>
      <c r="G34" s="30">
        <v>0.71049999999999991</v>
      </c>
      <c r="H34" s="29">
        <v>0.77524999999999999</v>
      </c>
      <c r="I34" s="30">
        <v>0.84</v>
      </c>
      <c r="J34" s="29">
        <v>0.88274999999999992</v>
      </c>
      <c r="K34" s="30">
        <v>0.92549999999999999</v>
      </c>
      <c r="L34" s="29">
        <v>0.94874999999999998</v>
      </c>
      <c r="M34" s="30">
        <v>0.97199999999999998</v>
      </c>
      <c r="N34" s="29">
        <v>0.98150000000000004</v>
      </c>
      <c r="O34" s="30">
        <v>0.99099999999999999</v>
      </c>
      <c r="P34" s="29">
        <v>0.99350000000000005</v>
      </c>
      <c r="Q34" s="30">
        <v>0.996</v>
      </c>
      <c r="R34" s="29">
        <v>0.998</v>
      </c>
      <c r="S34" s="30">
        <v>1</v>
      </c>
      <c r="T34" s="29">
        <v>1</v>
      </c>
      <c r="U34" s="31">
        <v>1</v>
      </c>
    </row>
    <row r="35" spans="1:21" s="51" customFormat="1" ht="16" customHeight="1" x14ac:dyDescent="0.3">
      <c r="A35" s="62">
        <v>1</v>
      </c>
      <c r="B35" s="28">
        <v>0.37</v>
      </c>
      <c r="C35" s="29">
        <v>0.39949999999999997</v>
      </c>
      <c r="D35" s="30">
        <v>0.42899999999999999</v>
      </c>
      <c r="E35" s="30">
        <v>0.53700000000000003</v>
      </c>
      <c r="F35" s="29">
        <v>0.621</v>
      </c>
      <c r="G35" s="30">
        <v>0.70499999999999996</v>
      </c>
      <c r="H35" s="29">
        <v>0.76949999999999996</v>
      </c>
      <c r="I35" s="30">
        <v>0.83399999999999996</v>
      </c>
      <c r="J35" s="29">
        <v>0.87949999999999995</v>
      </c>
      <c r="K35" s="30">
        <v>0.92500000000000004</v>
      </c>
      <c r="L35" s="29">
        <v>0.94850000000000001</v>
      </c>
      <c r="M35" s="30">
        <v>0.97199999999999998</v>
      </c>
      <c r="N35" s="29">
        <v>0.98150000000000004</v>
      </c>
      <c r="O35" s="30">
        <v>0.99099999999999999</v>
      </c>
      <c r="P35" s="29">
        <v>0.99350000000000005</v>
      </c>
      <c r="Q35" s="30">
        <v>0.996</v>
      </c>
      <c r="R35" s="29">
        <v>0.998</v>
      </c>
      <c r="S35" s="30">
        <v>1</v>
      </c>
      <c r="T35" s="29">
        <v>1</v>
      </c>
      <c r="U35" s="31">
        <v>1</v>
      </c>
    </row>
    <row r="36" spans="1:21" s="51" customFormat="1" ht="16" customHeight="1" x14ac:dyDescent="0.3">
      <c r="A36" s="61">
        <v>1.25</v>
      </c>
      <c r="B36" s="28">
        <v>0.38800000000000001</v>
      </c>
      <c r="C36" s="29">
        <v>0.41699999999999998</v>
      </c>
      <c r="D36" s="30">
        <v>0.44599999999999995</v>
      </c>
      <c r="E36" s="30">
        <v>0.54774999999999996</v>
      </c>
      <c r="F36" s="29">
        <v>0.62912499999999993</v>
      </c>
      <c r="G36" s="30">
        <v>0.71049999999999991</v>
      </c>
      <c r="H36" s="29">
        <v>0.77324999999999999</v>
      </c>
      <c r="I36" s="30">
        <v>0.83599999999999997</v>
      </c>
      <c r="J36" s="29">
        <v>0.88062499999999999</v>
      </c>
      <c r="K36" s="30">
        <v>0.92525000000000002</v>
      </c>
      <c r="L36" s="29">
        <v>0.94837499999999997</v>
      </c>
      <c r="M36" s="30">
        <v>0.97150000000000003</v>
      </c>
      <c r="N36" s="29">
        <v>0.98075000000000001</v>
      </c>
      <c r="O36" s="30">
        <v>0.99</v>
      </c>
      <c r="P36" s="29">
        <v>0.99299999999999999</v>
      </c>
      <c r="Q36" s="30">
        <v>0.996</v>
      </c>
      <c r="R36" s="29">
        <v>0.998</v>
      </c>
      <c r="S36" s="30">
        <v>1</v>
      </c>
      <c r="T36" s="29">
        <v>1</v>
      </c>
      <c r="U36" s="31">
        <v>1</v>
      </c>
    </row>
    <row r="37" spans="1:21" s="51" customFormat="1" ht="16" customHeight="1" x14ac:dyDescent="0.3">
      <c r="A37" s="61">
        <v>1.5</v>
      </c>
      <c r="B37" s="32">
        <v>0.40600000000000003</v>
      </c>
      <c r="C37" s="33">
        <v>0.4345</v>
      </c>
      <c r="D37" s="34">
        <v>0.46299999999999997</v>
      </c>
      <c r="E37" s="34">
        <v>0.5585</v>
      </c>
      <c r="F37" s="33">
        <v>0.63724999999999998</v>
      </c>
      <c r="G37" s="34">
        <v>0.71599999999999997</v>
      </c>
      <c r="H37" s="33">
        <v>0.77699999999999991</v>
      </c>
      <c r="I37" s="34">
        <v>0.83799999999999997</v>
      </c>
      <c r="J37" s="33">
        <v>0.88175000000000003</v>
      </c>
      <c r="K37" s="34">
        <v>0.92549999999999999</v>
      </c>
      <c r="L37" s="33">
        <v>0.94825000000000004</v>
      </c>
      <c r="M37" s="34">
        <v>0.97099999999999997</v>
      </c>
      <c r="N37" s="33">
        <v>0.98</v>
      </c>
      <c r="O37" s="34">
        <v>0.98899999999999999</v>
      </c>
      <c r="P37" s="33">
        <v>0.99249999999999994</v>
      </c>
      <c r="Q37" s="34">
        <v>0.996</v>
      </c>
      <c r="R37" s="33">
        <v>0.998</v>
      </c>
      <c r="S37" s="34">
        <v>1</v>
      </c>
      <c r="T37" s="33">
        <v>1</v>
      </c>
      <c r="U37" s="35">
        <v>1</v>
      </c>
    </row>
    <row r="38" spans="1:21" s="51" customFormat="1" ht="16" customHeight="1" x14ac:dyDescent="0.3">
      <c r="A38" s="61">
        <v>1.75</v>
      </c>
      <c r="B38" s="28">
        <v>0.42400000000000004</v>
      </c>
      <c r="C38" s="29">
        <v>0.45200000000000001</v>
      </c>
      <c r="D38" s="30">
        <v>0.48</v>
      </c>
      <c r="E38" s="30">
        <v>0.56925000000000003</v>
      </c>
      <c r="F38" s="29">
        <v>0.64537500000000003</v>
      </c>
      <c r="G38" s="30">
        <v>0.72150000000000003</v>
      </c>
      <c r="H38" s="29">
        <v>0.78075000000000006</v>
      </c>
      <c r="I38" s="30">
        <v>0.84</v>
      </c>
      <c r="J38" s="29">
        <v>0.88287500000000008</v>
      </c>
      <c r="K38" s="30">
        <v>0.92575000000000007</v>
      </c>
      <c r="L38" s="29">
        <v>0.948125</v>
      </c>
      <c r="M38" s="30">
        <v>0.97049999999999992</v>
      </c>
      <c r="N38" s="29">
        <v>0.97924999999999995</v>
      </c>
      <c r="O38" s="30">
        <v>0.98799999999999999</v>
      </c>
      <c r="P38" s="29">
        <v>0.99199999999999999</v>
      </c>
      <c r="Q38" s="30">
        <v>0.996</v>
      </c>
      <c r="R38" s="29">
        <v>0.998</v>
      </c>
      <c r="S38" s="30">
        <v>1</v>
      </c>
      <c r="T38" s="29">
        <v>1</v>
      </c>
      <c r="U38" s="31">
        <v>1</v>
      </c>
    </row>
    <row r="39" spans="1:21" s="51" customFormat="1" ht="16" customHeight="1" x14ac:dyDescent="0.3">
      <c r="A39" s="62">
        <v>2</v>
      </c>
      <c r="B39" s="28">
        <v>0.442</v>
      </c>
      <c r="C39" s="29">
        <v>0.46950000000000003</v>
      </c>
      <c r="D39" s="30">
        <v>0.497</v>
      </c>
      <c r="E39" s="30">
        <v>0.57999999999999996</v>
      </c>
      <c r="F39" s="29">
        <v>0.65349999999999997</v>
      </c>
      <c r="G39" s="30">
        <v>0.72699999999999998</v>
      </c>
      <c r="H39" s="29">
        <v>0.78449999999999998</v>
      </c>
      <c r="I39" s="30">
        <v>0.84199999999999997</v>
      </c>
      <c r="J39" s="29">
        <v>0.88400000000000001</v>
      </c>
      <c r="K39" s="30">
        <v>0.92600000000000005</v>
      </c>
      <c r="L39" s="29">
        <v>0.94799999999999995</v>
      </c>
      <c r="M39" s="30">
        <v>0.97</v>
      </c>
      <c r="N39" s="29">
        <v>0.97849999999999993</v>
      </c>
      <c r="O39" s="30">
        <v>0.98699999999999999</v>
      </c>
      <c r="P39" s="29">
        <v>0.99150000000000005</v>
      </c>
      <c r="Q39" s="30">
        <v>0.996</v>
      </c>
      <c r="R39" s="29">
        <v>0.998</v>
      </c>
      <c r="S39" s="30">
        <v>1</v>
      </c>
      <c r="T39" s="29">
        <v>1</v>
      </c>
      <c r="U39" s="31">
        <v>1</v>
      </c>
    </row>
    <row r="40" spans="1:21" s="51" customFormat="1" ht="16" customHeight="1" x14ac:dyDescent="0.3">
      <c r="A40" s="61">
        <v>2.5</v>
      </c>
      <c r="B40" s="28">
        <v>0.46499999999999997</v>
      </c>
      <c r="C40" s="29">
        <v>0.49049999999999999</v>
      </c>
      <c r="D40" s="30">
        <v>0.51600000000000001</v>
      </c>
      <c r="E40" s="30">
        <v>0.59450000000000003</v>
      </c>
      <c r="F40" s="29">
        <v>0.66474999999999995</v>
      </c>
      <c r="G40" s="30">
        <v>0.73499999999999999</v>
      </c>
      <c r="H40" s="29">
        <v>0.78949999999999998</v>
      </c>
      <c r="I40" s="30">
        <v>0.84399999999999997</v>
      </c>
      <c r="J40" s="29">
        <v>0.88500000000000001</v>
      </c>
      <c r="K40" s="30">
        <v>0.92600000000000005</v>
      </c>
      <c r="L40" s="29">
        <v>0.94775000000000009</v>
      </c>
      <c r="M40" s="30">
        <v>0.96950000000000003</v>
      </c>
      <c r="N40" s="29">
        <v>0.97825000000000006</v>
      </c>
      <c r="O40" s="30">
        <v>0.98699999999999999</v>
      </c>
      <c r="P40" s="29">
        <v>0.99124999999999996</v>
      </c>
      <c r="Q40" s="30">
        <v>0.99550000000000005</v>
      </c>
      <c r="R40" s="29">
        <v>0.99750000000000005</v>
      </c>
      <c r="S40" s="30">
        <v>0.99950000000000006</v>
      </c>
      <c r="T40" s="29">
        <v>0.99950000000000006</v>
      </c>
      <c r="U40" s="31">
        <v>0.99950000000000006</v>
      </c>
    </row>
    <row r="41" spans="1:21" s="51" customFormat="1" ht="16" customHeight="1" x14ac:dyDescent="0.3">
      <c r="A41" s="61">
        <v>3</v>
      </c>
      <c r="B41" s="32">
        <v>0.48799999999999999</v>
      </c>
      <c r="C41" s="33">
        <v>0.51150000000000007</v>
      </c>
      <c r="D41" s="34">
        <v>0.53500000000000003</v>
      </c>
      <c r="E41" s="34">
        <v>0.60899999999999999</v>
      </c>
      <c r="F41" s="33">
        <v>0.67599999999999993</v>
      </c>
      <c r="G41" s="34">
        <v>0.74299999999999999</v>
      </c>
      <c r="H41" s="33">
        <v>0.79449999999999998</v>
      </c>
      <c r="I41" s="34">
        <v>0.84599999999999997</v>
      </c>
      <c r="J41" s="33">
        <v>0.88600000000000001</v>
      </c>
      <c r="K41" s="34">
        <v>0.92600000000000005</v>
      </c>
      <c r="L41" s="33">
        <v>0.94750000000000001</v>
      </c>
      <c r="M41" s="34">
        <v>0.96899999999999997</v>
      </c>
      <c r="N41" s="33">
        <v>0.97799999999999998</v>
      </c>
      <c r="O41" s="34">
        <v>0.98699999999999999</v>
      </c>
      <c r="P41" s="33">
        <v>0.99099999999999999</v>
      </c>
      <c r="Q41" s="34">
        <v>0.995</v>
      </c>
      <c r="R41" s="33">
        <v>0.997</v>
      </c>
      <c r="S41" s="34">
        <v>0.999</v>
      </c>
      <c r="T41" s="33">
        <v>0.99924999999999997</v>
      </c>
      <c r="U41" s="35">
        <v>0.99950000000000006</v>
      </c>
    </row>
    <row r="42" spans="1:21" s="51" customFormat="1" ht="16" customHeight="1" x14ac:dyDescent="0.3">
      <c r="A42" s="61">
        <v>3.5</v>
      </c>
      <c r="B42" s="28">
        <v>0.504</v>
      </c>
      <c r="C42" s="29">
        <v>0.52600000000000002</v>
      </c>
      <c r="D42" s="30">
        <v>0.54800000000000004</v>
      </c>
      <c r="E42" s="30">
        <v>0.61949999999999994</v>
      </c>
      <c r="F42" s="29">
        <v>0.6835</v>
      </c>
      <c r="G42" s="30">
        <v>0.74750000000000005</v>
      </c>
      <c r="H42" s="29">
        <v>0.79725000000000001</v>
      </c>
      <c r="I42" s="30">
        <v>0.84699999999999998</v>
      </c>
      <c r="J42" s="29">
        <v>0.88700000000000001</v>
      </c>
      <c r="K42" s="30">
        <v>0.92700000000000005</v>
      </c>
      <c r="L42" s="29">
        <v>0.94799999999999995</v>
      </c>
      <c r="M42" s="30">
        <v>0.96899999999999997</v>
      </c>
      <c r="N42" s="29">
        <v>0.97799999999999998</v>
      </c>
      <c r="O42" s="30">
        <v>0.98699999999999999</v>
      </c>
      <c r="P42" s="29">
        <v>0.99099999999999999</v>
      </c>
      <c r="Q42" s="30">
        <v>0.995</v>
      </c>
      <c r="R42" s="29">
        <v>0.997</v>
      </c>
      <c r="S42" s="30">
        <v>0.999</v>
      </c>
      <c r="T42" s="29">
        <v>0.99924999999999997</v>
      </c>
      <c r="U42" s="31">
        <v>0.99950000000000006</v>
      </c>
    </row>
    <row r="43" spans="1:21" s="51" customFormat="1" ht="16" customHeight="1" x14ac:dyDescent="0.3">
      <c r="A43" s="62">
        <v>4</v>
      </c>
      <c r="B43" s="28">
        <v>0.52</v>
      </c>
      <c r="C43" s="29">
        <v>0.54049999999999998</v>
      </c>
      <c r="D43" s="30">
        <v>0.56100000000000005</v>
      </c>
      <c r="E43" s="30">
        <v>0.63</v>
      </c>
      <c r="F43" s="29">
        <v>0.69100000000000006</v>
      </c>
      <c r="G43" s="30">
        <v>0.752</v>
      </c>
      <c r="H43" s="29">
        <v>0.8</v>
      </c>
      <c r="I43" s="30">
        <v>0.84799999999999998</v>
      </c>
      <c r="J43" s="29">
        <v>0.88800000000000001</v>
      </c>
      <c r="K43" s="30">
        <v>0.92800000000000005</v>
      </c>
      <c r="L43" s="29">
        <v>0.94850000000000001</v>
      </c>
      <c r="M43" s="30">
        <v>0.96899999999999997</v>
      </c>
      <c r="N43" s="29">
        <v>0.97799999999999998</v>
      </c>
      <c r="O43" s="30">
        <v>0.98699999999999999</v>
      </c>
      <c r="P43" s="29">
        <v>0.99099999999999999</v>
      </c>
      <c r="Q43" s="30">
        <v>0.995</v>
      </c>
      <c r="R43" s="29">
        <v>0.997</v>
      </c>
      <c r="S43" s="30">
        <v>0.999</v>
      </c>
      <c r="T43" s="29">
        <v>0.99924999999999997</v>
      </c>
      <c r="U43" s="31">
        <v>0.99950000000000006</v>
      </c>
    </row>
    <row r="44" spans="1:21" s="51" customFormat="1" ht="16" customHeight="1" x14ac:dyDescent="0.3">
      <c r="A44" s="61">
        <v>4.5</v>
      </c>
      <c r="B44" s="28">
        <v>0.53500000000000003</v>
      </c>
      <c r="C44" s="29">
        <v>0.55449999999999999</v>
      </c>
      <c r="D44" s="30">
        <v>0.57400000000000007</v>
      </c>
      <c r="E44" s="30">
        <v>0.63749999999999996</v>
      </c>
      <c r="F44" s="29">
        <v>0.69674999999999998</v>
      </c>
      <c r="G44" s="30">
        <v>0.75600000000000001</v>
      </c>
      <c r="H44" s="29">
        <v>0.80299999999999994</v>
      </c>
      <c r="I44" s="30">
        <v>0.85</v>
      </c>
      <c r="J44" s="29">
        <v>0.88900000000000001</v>
      </c>
      <c r="K44" s="30">
        <v>0.92800000000000005</v>
      </c>
      <c r="L44" s="29">
        <v>0.94850000000000001</v>
      </c>
      <c r="M44" s="30">
        <v>0.96899999999999997</v>
      </c>
      <c r="N44" s="29">
        <v>0.97799999999999998</v>
      </c>
      <c r="O44" s="30">
        <v>0.98699999999999999</v>
      </c>
      <c r="P44" s="29">
        <v>0.99099999999999999</v>
      </c>
      <c r="Q44" s="30">
        <v>0.995</v>
      </c>
      <c r="R44" s="29">
        <v>0.997</v>
      </c>
      <c r="S44" s="30">
        <v>0.999</v>
      </c>
      <c r="T44" s="29">
        <v>0.99924999999999997</v>
      </c>
      <c r="U44" s="31">
        <v>0.99950000000000006</v>
      </c>
    </row>
    <row r="45" spans="1:21" s="51" customFormat="1" ht="16" customHeight="1" thickBot="1" x14ac:dyDescent="0.35">
      <c r="A45" s="62">
        <v>5</v>
      </c>
      <c r="B45" s="36">
        <v>0.55000000000000004</v>
      </c>
      <c r="C45" s="37">
        <v>0.56850000000000001</v>
      </c>
      <c r="D45" s="38">
        <v>0.58699999999999997</v>
      </c>
      <c r="E45" s="38">
        <v>0.64500000000000002</v>
      </c>
      <c r="F45" s="37">
        <v>0.70250000000000001</v>
      </c>
      <c r="G45" s="38">
        <v>0.76</v>
      </c>
      <c r="H45" s="37">
        <v>0.80600000000000005</v>
      </c>
      <c r="I45" s="38">
        <v>0.85199999999999998</v>
      </c>
      <c r="J45" s="37">
        <v>0.89</v>
      </c>
      <c r="K45" s="38">
        <v>0.92800000000000005</v>
      </c>
      <c r="L45" s="37">
        <v>0.94850000000000001</v>
      </c>
      <c r="M45" s="38">
        <v>0.96899999999999997</v>
      </c>
      <c r="N45" s="37">
        <v>0.97799999999999998</v>
      </c>
      <c r="O45" s="38">
        <v>0.98699999999999999</v>
      </c>
      <c r="P45" s="37">
        <v>0.99099999999999999</v>
      </c>
      <c r="Q45" s="38">
        <v>0.995</v>
      </c>
      <c r="R45" s="37">
        <v>0.997</v>
      </c>
      <c r="S45" s="38">
        <v>0.999</v>
      </c>
      <c r="T45" s="37">
        <v>0.99924999999999997</v>
      </c>
      <c r="U45" s="39">
        <v>0.99950000000000006</v>
      </c>
    </row>
    <row r="46" spans="1:21" s="51" customFormat="1" ht="16" customHeight="1" thickBot="1" x14ac:dyDescent="0.35">
      <c r="P46" s="54"/>
    </row>
    <row r="47" spans="1:21" s="51" customFormat="1" ht="20.25" customHeight="1" thickBot="1" x14ac:dyDescent="0.35">
      <c r="A47" s="58" t="s">
        <v>24</v>
      </c>
      <c r="B47" s="59" t="s">
        <v>27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54"/>
    </row>
    <row r="48" spans="1:21" s="51" customFormat="1" ht="16" customHeight="1" x14ac:dyDescent="0.3">
      <c r="A48" s="40">
        <v>0.5</v>
      </c>
      <c r="B48" s="41">
        <v>0.97299999999999998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54"/>
    </row>
    <row r="49" spans="1:16" s="51" customFormat="1" ht="16" customHeight="1" x14ac:dyDescent="0.3">
      <c r="A49" s="43">
        <v>0.75</v>
      </c>
      <c r="B49" s="44">
        <v>0.95849999999999991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54"/>
    </row>
    <row r="50" spans="1:16" s="51" customFormat="1" ht="16" customHeight="1" x14ac:dyDescent="0.3">
      <c r="A50" s="45">
        <v>1</v>
      </c>
      <c r="B50" s="46">
        <v>0.94399999999999995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</row>
    <row r="51" spans="1:16" s="51" customFormat="1" ht="16" customHeight="1" x14ac:dyDescent="0.3">
      <c r="A51" s="43">
        <v>1.25</v>
      </c>
      <c r="B51" s="44">
        <v>0.94324999999999992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</row>
    <row r="52" spans="1:16" s="51" customFormat="1" ht="16" customHeight="1" x14ac:dyDescent="0.3">
      <c r="A52" s="43">
        <v>1.5</v>
      </c>
      <c r="B52" s="44">
        <v>0.94249999999999989</v>
      </c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</row>
    <row r="53" spans="1:16" s="51" customFormat="1" ht="16" customHeight="1" x14ac:dyDescent="0.3">
      <c r="A53" s="75">
        <v>1.75</v>
      </c>
      <c r="B53" s="76">
        <v>0.94174999999999986</v>
      </c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</row>
    <row r="54" spans="1:16" ht="16" customHeight="1" x14ac:dyDescent="0.3">
      <c r="A54" s="79">
        <v>2</v>
      </c>
      <c r="B54" s="77">
        <v>0.94099999999999995</v>
      </c>
    </row>
    <row r="55" spans="1:16" ht="16" customHeight="1" x14ac:dyDescent="0.3">
      <c r="A55" s="79">
        <v>2.5</v>
      </c>
      <c r="B55" s="77">
        <v>0.9415</v>
      </c>
    </row>
    <row r="56" spans="1:16" ht="16" customHeight="1" x14ac:dyDescent="0.3">
      <c r="A56" s="79">
        <v>3</v>
      </c>
      <c r="B56" s="77">
        <v>0.94199999999999995</v>
      </c>
    </row>
    <row r="57" spans="1:16" ht="16" customHeight="1" x14ac:dyDescent="0.3">
      <c r="A57" s="79">
        <v>3.5</v>
      </c>
      <c r="B57" s="77">
        <v>0.94249999999999989</v>
      </c>
    </row>
    <row r="58" spans="1:16" ht="16" customHeight="1" x14ac:dyDescent="0.3">
      <c r="A58" s="79">
        <v>4</v>
      </c>
      <c r="B58" s="77">
        <v>0.94299999999999995</v>
      </c>
    </row>
    <row r="59" spans="1:16" ht="16" customHeight="1" x14ac:dyDescent="0.3">
      <c r="A59" s="79">
        <v>4.5</v>
      </c>
      <c r="B59" s="77">
        <v>0.94350000000000001</v>
      </c>
    </row>
    <row r="60" spans="1:16" ht="16" customHeight="1" thickBot="1" x14ac:dyDescent="0.35">
      <c r="A60" s="80">
        <v>5</v>
      </c>
      <c r="B60" s="78">
        <v>0.94399999999999995</v>
      </c>
    </row>
    <row r="61" spans="1:16" ht="16" customHeight="1" x14ac:dyDescent="0.3"/>
    <row r="62" spans="1:16" ht="16" customHeight="1" x14ac:dyDescent="0.3"/>
    <row r="63" spans="1:16" ht="16" customHeight="1" x14ac:dyDescent="0.3"/>
    <row r="64" spans="1:16" ht="16" customHeight="1" x14ac:dyDescent="0.3"/>
    <row r="65" ht="16" customHeight="1" x14ac:dyDescent="0.3"/>
    <row r="66" ht="16" customHeight="1" x14ac:dyDescent="0.3"/>
  </sheetData>
  <mergeCells count="11">
    <mergeCell ref="A1:E1"/>
    <mergeCell ref="B2:F2"/>
    <mergeCell ref="I3:K3"/>
    <mergeCell ref="I4:I5"/>
    <mergeCell ref="J4:J5"/>
    <mergeCell ref="I14:L14"/>
    <mergeCell ref="K4:K5"/>
    <mergeCell ref="B31:U31"/>
    <mergeCell ref="A7:E7"/>
    <mergeCell ref="H12:J12"/>
    <mergeCell ref="F17:H18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73"/>
  <sheetViews>
    <sheetView showGridLines="0" workbookViewId="0">
      <selection activeCell="J28" sqref="J28"/>
    </sheetView>
  </sheetViews>
  <sheetFormatPr defaultColWidth="9.15234375" defaultRowHeight="12.45" x14ac:dyDescent="0.3"/>
  <cols>
    <col min="1" max="15" width="10.69140625" style="20" customWidth="1"/>
    <col min="16" max="16384" width="9.15234375" style="20"/>
  </cols>
  <sheetData>
    <row r="1" spans="1:12" ht="36.75" customHeight="1" x14ac:dyDescent="0.3">
      <c r="A1" s="552" t="s">
        <v>20</v>
      </c>
      <c r="B1" s="487"/>
      <c r="C1" s="487"/>
      <c r="D1" s="487"/>
      <c r="E1" s="487"/>
    </row>
    <row r="2" spans="1:12" ht="18.75" customHeight="1" x14ac:dyDescent="0.3">
      <c r="A2" s="66" t="s">
        <v>2</v>
      </c>
      <c r="B2" s="538" t="s">
        <v>3</v>
      </c>
      <c r="C2" s="553"/>
      <c r="D2" s="553"/>
      <c r="E2" s="553"/>
      <c r="F2" s="553"/>
    </row>
    <row r="3" spans="1:12" ht="16" customHeight="1" thickBot="1" x14ac:dyDescent="0.35">
      <c r="A3" s="49"/>
      <c r="B3" s="7"/>
      <c r="D3" s="7"/>
      <c r="I3" s="540" t="s">
        <v>12</v>
      </c>
      <c r="J3" s="540"/>
      <c r="K3" s="540"/>
    </row>
    <row r="4" spans="1:12" ht="16" customHeight="1" thickBot="1" x14ac:dyDescent="0.35">
      <c r="A4" s="5" t="s">
        <v>4</v>
      </c>
      <c r="B4" s="11">
        <v>0.68600000000000005</v>
      </c>
      <c r="C4" s="50" t="s">
        <v>5</v>
      </c>
      <c r="D4" s="51"/>
      <c r="E4" s="6" t="s">
        <v>6</v>
      </c>
      <c r="F4" s="14">
        <v>1.2929999999999999</v>
      </c>
      <c r="I4" s="541" t="s">
        <v>13</v>
      </c>
      <c r="J4" s="543" t="s">
        <v>14</v>
      </c>
      <c r="K4" s="545" t="s">
        <v>15</v>
      </c>
    </row>
    <row r="5" spans="1:12" ht="16" customHeight="1" thickBot="1" x14ac:dyDescent="0.35">
      <c r="A5" s="6" t="s">
        <v>7</v>
      </c>
      <c r="B5" s="11">
        <v>16.991</v>
      </c>
      <c r="C5" s="50" t="s">
        <v>8</v>
      </c>
      <c r="D5" s="7"/>
      <c r="E5" s="15" t="s">
        <v>9</v>
      </c>
      <c r="F5" s="16">
        <f>LN(2)/(B5*24)</f>
        <v>1.6997900372745015E-3</v>
      </c>
      <c r="G5" s="50" t="s">
        <v>17</v>
      </c>
      <c r="I5" s="554"/>
      <c r="J5" s="555"/>
      <c r="K5" s="556"/>
    </row>
    <row r="6" spans="1:12" ht="16" customHeight="1" thickBot="1" x14ac:dyDescent="0.35">
      <c r="I6" s="17">
        <v>0.8</v>
      </c>
      <c r="J6" s="18">
        <v>4.5</v>
      </c>
      <c r="K6" s="19">
        <v>4.2300000000000004</v>
      </c>
    </row>
    <row r="7" spans="1:12" ht="18.75" customHeight="1" thickBot="1" x14ac:dyDescent="0.35">
      <c r="A7" s="557" t="s">
        <v>18</v>
      </c>
      <c r="B7" s="557"/>
      <c r="C7" s="486"/>
      <c r="D7" s="558"/>
      <c r="E7" s="559"/>
    </row>
    <row r="8" spans="1:12" ht="22.5" customHeight="1" thickBot="1" x14ac:dyDescent="0.35">
      <c r="A8" s="115" t="s">
        <v>24</v>
      </c>
      <c r="B8" s="113" t="s">
        <v>19</v>
      </c>
      <c r="C8" s="53"/>
      <c r="D8" s="104" t="s">
        <v>24</v>
      </c>
      <c r="E8" s="113" t="s">
        <v>21</v>
      </c>
    </row>
    <row r="9" spans="1:12" s="51" customFormat="1" ht="16" customHeight="1" x14ac:dyDescent="0.3">
      <c r="A9" s="105">
        <v>0</v>
      </c>
      <c r="B9" s="109">
        <v>0.49399999999999999</v>
      </c>
      <c r="D9" s="105">
        <v>0</v>
      </c>
      <c r="E9" s="109">
        <v>0.91100000000000003</v>
      </c>
    </row>
    <row r="10" spans="1:12" s="51" customFormat="1" ht="16" customHeight="1" x14ac:dyDescent="0.3">
      <c r="A10" s="106">
        <v>0.1</v>
      </c>
      <c r="B10" s="110">
        <v>0.49399999999999999</v>
      </c>
      <c r="D10" s="106">
        <v>0.1</v>
      </c>
      <c r="E10" s="110">
        <v>0.91100000000000003</v>
      </c>
      <c r="I10" s="10"/>
    </row>
    <row r="11" spans="1:12" s="51" customFormat="1" ht="16" customHeight="1" x14ac:dyDescent="0.3">
      <c r="A11" s="106">
        <v>0.15</v>
      </c>
      <c r="B11" s="110">
        <v>0.83099999999999996</v>
      </c>
      <c r="D11" s="106">
        <v>0.15</v>
      </c>
      <c r="E11" s="110">
        <v>1.21</v>
      </c>
      <c r="I11" s="8"/>
    </row>
    <row r="12" spans="1:12" s="51" customFormat="1" ht="16" customHeight="1" x14ac:dyDescent="0.3">
      <c r="A12" s="106">
        <v>0.25</v>
      </c>
      <c r="B12" s="110">
        <v>1.1539999999999999</v>
      </c>
      <c r="D12" s="106">
        <v>0.25</v>
      </c>
      <c r="E12" s="110">
        <v>1.37</v>
      </c>
      <c r="H12" s="408" t="s">
        <v>0</v>
      </c>
      <c r="I12" s="409"/>
      <c r="J12" s="409"/>
      <c r="K12" s="1"/>
      <c r="L12" s="1"/>
    </row>
    <row r="13" spans="1:12" s="51" customFormat="1" ht="16" customHeight="1" thickBot="1" x14ac:dyDescent="0.35">
      <c r="A13" s="106">
        <v>0.3</v>
      </c>
      <c r="B13" s="110">
        <v>1.22</v>
      </c>
      <c r="D13" s="106">
        <v>0.3</v>
      </c>
      <c r="E13" s="110">
        <v>1.38</v>
      </c>
      <c r="H13" s="1"/>
      <c r="I13" s="1"/>
      <c r="J13" s="1"/>
      <c r="K13" s="1"/>
      <c r="L13" s="1"/>
    </row>
    <row r="14" spans="1:12" s="51" customFormat="1" ht="16" customHeight="1" x14ac:dyDescent="0.3">
      <c r="A14" s="106">
        <v>0.35</v>
      </c>
      <c r="B14" s="110">
        <v>1.2444999999999999</v>
      </c>
      <c r="D14" s="106">
        <v>0.35</v>
      </c>
      <c r="E14" s="110">
        <v>1.37</v>
      </c>
      <c r="G14" s="143"/>
      <c r="H14" s="346"/>
      <c r="I14" s="401" t="s">
        <v>1</v>
      </c>
      <c r="J14" s="456"/>
      <c r="K14" s="456"/>
      <c r="L14" s="457"/>
    </row>
    <row r="15" spans="1:12" s="51" customFormat="1" ht="16" customHeight="1" thickBot="1" x14ac:dyDescent="0.35">
      <c r="A15" s="106">
        <v>0.4</v>
      </c>
      <c r="B15" s="110">
        <v>1.2689999999999999</v>
      </c>
      <c r="D15" s="106">
        <v>0.4</v>
      </c>
      <c r="E15" s="110">
        <v>1.36</v>
      </c>
      <c r="G15" s="348" t="s">
        <v>30</v>
      </c>
      <c r="H15" s="350" t="s">
        <v>29</v>
      </c>
      <c r="I15" s="21" t="s">
        <v>22</v>
      </c>
      <c r="J15" s="22" t="s">
        <v>23</v>
      </c>
      <c r="K15" s="23" t="s">
        <v>28</v>
      </c>
      <c r="L15" s="71" t="s">
        <v>31</v>
      </c>
    </row>
    <row r="16" spans="1:12" s="51" customFormat="1" ht="16" customHeight="1" thickBot="1" x14ac:dyDescent="0.35">
      <c r="A16" s="106">
        <v>0.5</v>
      </c>
      <c r="B16" s="110">
        <v>1.248</v>
      </c>
      <c r="D16" s="106">
        <v>0.5</v>
      </c>
      <c r="E16" s="110">
        <v>1.3</v>
      </c>
      <c r="F16" s="54"/>
      <c r="G16" s="67">
        <v>2</v>
      </c>
      <c r="H16" s="95">
        <v>10</v>
      </c>
      <c r="I16" s="12">
        <f>Interpolate1DTable(G16,$A$9:$B$28)</f>
        <v>0.56100000000000005</v>
      </c>
      <c r="J16" s="13">
        <f>Interpolate1DTable(G16,$D$9:$E$28)</f>
        <v>0.55500000000000005</v>
      </c>
      <c r="K16" s="103">
        <f>Interpolate1DTable(G16,$A$48:$B$60)</f>
        <v>0.87</v>
      </c>
      <c r="L16" s="72">
        <f>Interpolate2DTable(H21,H16,$A$32:$U$45)</f>
        <v>0.28399999999999997</v>
      </c>
    </row>
    <row r="17" spans="1:21" s="51" customFormat="1" ht="16" customHeight="1" x14ac:dyDescent="0.3">
      <c r="A17" s="106">
        <v>0.75</v>
      </c>
      <c r="B17" s="110">
        <v>1.137</v>
      </c>
      <c r="D17" s="106">
        <v>0.75</v>
      </c>
      <c r="E17" s="110">
        <v>1.1499999999999999</v>
      </c>
      <c r="F17" s="530"/>
      <c r="G17" s="530"/>
      <c r="H17" s="530"/>
    </row>
    <row r="18" spans="1:21" s="51" customFormat="1" ht="16" customHeight="1" x14ac:dyDescent="0.3">
      <c r="A18" s="106">
        <v>1</v>
      </c>
      <c r="B18" s="110">
        <v>1</v>
      </c>
      <c r="D18" s="106">
        <v>1</v>
      </c>
      <c r="E18" s="110">
        <v>1</v>
      </c>
      <c r="F18" s="530"/>
      <c r="G18" s="530"/>
      <c r="H18" s="530"/>
    </row>
    <row r="19" spans="1:21" s="51" customFormat="1" ht="16" customHeight="1" x14ac:dyDescent="0.3">
      <c r="A19" s="106">
        <v>1.5</v>
      </c>
      <c r="B19" s="110">
        <v>0.755</v>
      </c>
      <c r="D19" s="106">
        <v>1.5</v>
      </c>
      <c r="E19" s="110">
        <v>0.749</v>
      </c>
      <c r="F19" s="54"/>
      <c r="G19" s="54"/>
      <c r="H19" s="4"/>
      <c r="I19" s="2"/>
      <c r="J19" s="2"/>
      <c r="K19" s="68"/>
    </row>
    <row r="20" spans="1:21" s="51" customFormat="1" ht="16" customHeight="1" x14ac:dyDescent="0.3">
      <c r="A20" s="106">
        <v>2</v>
      </c>
      <c r="B20" s="110">
        <v>0.56100000000000005</v>
      </c>
      <c r="D20" s="106">
        <v>2</v>
      </c>
      <c r="E20" s="110">
        <v>0.55500000000000005</v>
      </c>
      <c r="F20" s="55"/>
      <c r="G20" s="9"/>
      <c r="H20" s="3"/>
      <c r="I20" s="54"/>
      <c r="J20" s="54"/>
      <c r="K20" s="69"/>
    </row>
    <row r="21" spans="1:21" s="51" customFormat="1" ht="16" customHeight="1" x14ac:dyDescent="0.3">
      <c r="A21" s="106">
        <v>2.5</v>
      </c>
      <c r="B21" s="110">
        <v>0.41499999999999998</v>
      </c>
      <c r="D21" s="106">
        <v>2.5</v>
      </c>
      <c r="E21" s="110">
        <v>0.41</v>
      </c>
      <c r="F21" s="55"/>
      <c r="G21" s="9"/>
      <c r="H21" s="93"/>
      <c r="I21" s="54"/>
      <c r="J21" s="54"/>
      <c r="K21" s="70"/>
    </row>
    <row r="22" spans="1:21" s="51" customFormat="1" ht="16" customHeight="1" x14ac:dyDescent="0.3">
      <c r="A22" s="106">
        <v>3</v>
      </c>
      <c r="B22" s="110">
        <v>0.30599999999999999</v>
      </c>
      <c r="D22" s="106">
        <v>3</v>
      </c>
      <c r="E22" s="110">
        <v>0.30199999999999999</v>
      </c>
      <c r="F22" s="54"/>
      <c r="G22" s="54"/>
      <c r="H22" s="54"/>
    </row>
    <row r="23" spans="1:21" s="51" customFormat="1" ht="16" customHeight="1" x14ac:dyDescent="0.3">
      <c r="A23" s="106">
        <v>3.5</v>
      </c>
      <c r="B23" s="110">
        <v>0.22600000000000001</v>
      </c>
      <c r="D23" s="106">
        <v>3.5</v>
      </c>
      <c r="E23" s="110">
        <v>0.223</v>
      </c>
      <c r="F23" s="54"/>
      <c r="G23" s="54"/>
      <c r="H23" s="54"/>
    </row>
    <row r="24" spans="1:21" s="51" customFormat="1" ht="16" customHeight="1" x14ac:dyDescent="0.3">
      <c r="A24" s="106">
        <v>4</v>
      </c>
      <c r="B24" s="110">
        <v>0.16500000000000001</v>
      </c>
      <c r="D24" s="106">
        <v>4</v>
      </c>
      <c r="E24" s="110">
        <v>0.16300000000000001</v>
      </c>
    </row>
    <row r="25" spans="1:21" s="51" customFormat="1" ht="16" customHeight="1" x14ac:dyDescent="0.3">
      <c r="A25" s="106">
        <v>5</v>
      </c>
      <c r="B25" s="110">
        <v>0.09</v>
      </c>
      <c r="D25" s="106">
        <v>5</v>
      </c>
      <c r="E25" s="110">
        <v>8.8700000000000001E-2</v>
      </c>
    </row>
    <row r="26" spans="1:21" s="51" customFormat="1" ht="16" customHeight="1" x14ac:dyDescent="0.3">
      <c r="A26" s="106">
        <v>6</v>
      </c>
      <c r="B26" s="110">
        <v>4.8899999999999999E-2</v>
      </c>
      <c r="D26" s="106">
        <v>6</v>
      </c>
      <c r="E26" s="110">
        <v>4.82E-2</v>
      </c>
    </row>
    <row r="27" spans="1:21" s="51" customFormat="1" ht="16" customHeight="1" x14ac:dyDescent="0.3">
      <c r="A27" s="106">
        <v>7</v>
      </c>
      <c r="B27" s="110">
        <v>2.6599999999999999E-2</v>
      </c>
      <c r="D27" s="106">
        <v>7</v>
      </c>
      <c r="E27" s="110">
        <v>2.6200000000000001E-2</v>
      </c>
    </row>
    <row r="28" spans="1:21" s="51" customFormat="1" ht="16" customHeight="1" thickBot="1" x14ac:dyDescent="0.35">
      <c r="A28" s="112">
        <v>10</v>
      </c>
      <c r="B28" s="114">
        <v>6.1999999999999998E-3</v>
      </c>
      <c r="D28" s="112">
        <v>10</v>
      </c>
      <c r="E28" s="114">
        <v>6.1999999999999998E-3</v>
      </c>
    </row>
    <row r="29" spans="1:21" s="51" customFormat="1" ht="16" customHeight="1" x14ac:dyDescent="0.3"/>
    <row r="30" spans="1:21" s="51" customFormat="1" ht="19.5" customHeight="1" thickBot="1" x14ac:dyDescent="0.35">
      <c r="A30" s="56" t="s">
        <v>16</v>
      </c>
    </row>
    <row r="31" spans="1:21" s="51" customFormat="1" ht="19.5" customHeight="1" thickBot="1" x14ac:dyDescent="0.35">
      <c r="A31" s="57" t="s">
        <v>25</v>
      </c>
      <c r="B31" s="547" t="s">
        <v>26</v>
      </c>
      <c r="C31" s="548"/>
      <c r="D31" s="548"/>
      <c r="E31" s="548"/>
      <c r="F31" s="548"/>
      <c r="G31" s="548"/>
      <c r="H31" s="548"/>
      <c r="I31" s="548"/>
      <c r="J31" s="548"/>
      <c r="K31" s="548"/>
      <c r="L31" s="548"/>
      <c r="M31" s="548"/>
      <c r="N31" s="548"/>
      <c r="O31" s="549"/>
      <c r="P31" s="549"/>
      <c r="Q31" s="549"/>
      <c r="R31" s="549"/>
      <c r="S31" s="549"/>
      <c r="T31" s="549"/>
      <c r="U31" s="550"/>
    </row>
    <row r="32" spans="1:21" s="51" customFormat="1" ht="16" customHeight="1" thickBot="1" x14ac:dyDescent="0.35">
      <c r="A32" s="60" t="s">
        <v>24</v>
      </c>
      <c r="B32" s="63">
        <v>0</v>
      </c>
      <c r="C32" s="64">
        <v>1</v>
      </c>
      <c r="D32" s="64">
        <v>2</v>
      </c>
      <c r="E32" s="64">
        <v>3</v>
      </c>
      <c r="F32" s="64">
        <v>5</v>
      </c>
      <c r="G32" s="64">
        <v>7</v>
      </c>
      <c r="H32" s="64">
        <v>10</v>
      </c>
      <c r="I32" s="64">
        <v>12</v>
      </c>
      <c r="J32" s="64">
        <v>15</v>
      </c>
      <c r="K32" s="64">
        <v>20</v>
      </c>
      <c r="L32" s="64">
        <v>25</v>
      </c>
      <c r="M32" s="64">
        <v>30</v>
      </c>
      <c r="N32" s="64">
        <v>40</v>
      </c>
      <c r="O32" s="64">
        <v>50</v>
      </c>
      <c r="P32" s="64">
        <v>60</v>
      </c>
      <c r="Q32" s="64">
        <v>70</v>
      </c>
      <c r="R32" s="64">
        <v>75</v>
      </c>
      <c r="S32" s="64">
        <v>80</v>
      </c>
      <c r="T32" s="64">
        <v>85</v>
      </c>
      <c r="U32" s="65">
        <v>90</v>
      </c>
    </row>
    <row r="33" spans="1:21" s="51" customFormat="1" ht="16" customHeight="1" x14ac:dyDescent="0.3">
      <c r="A33" s="61">
        <v>0.25</v>
      </c>
      <c r="B33" s="24">
        <v>0.61899999999999999</v>
      </c>
      <c r="C33" s="25">
        <v>0.61699999999999999</v>
      </c>
      <c r="D33" s="26">
        <v>0.61799999999999999</v>
      </c>
      <c r="E33" s="26">
        <v>0.62</v>
      </c>
      <c r="F33" s="25">
        <v>0.61699999999999999</v>
      </c>
      <c r="G33" s="26">
        <v>0.57899999999999996</v>
      </c>
      <c r="H33" s="25">
        <v>0.28399999999999997</v>
      </c>
      <c r="I33" s="26">
        <v>0.191</v>
      </c>
      <c r="J33" s="25">
        <v>0.28899999999999998</v>
      </c>
      <c r="K33" s="26">
        <v>0.496</v>
      </c>
      <c r="L33" s="25">
        <v>0.65500000000000003</v>
      </c>
      <c r="M33" s="26">
        <v>0.77500000000000002</v>
      </c>
      <c r="N33" s="25">
        <v>0.91700000000000004</v>
      </c>
      <c r="O33" s="26">
        <v>0.94499999999999995</v>
      </c>
      <c r="P33" s="25">
        <v>0.97599999999999998</v>
      </c>
      <c r="Q33" s="26">
        <v>0.98099999999999998</v>
      </c>
      <c r="R33" s="25">
        <v>0.94699999999999995</v>
      </c>
      <c r="S33" s="26">
        <v>0.99199999999999999</v>
      </c>
      <c r="T33" s="25">
        <v>1.0069999999999999</v>
      </c>
      <c r="U33" s="27">
        <v>1</v>
      </c>
    </row>
    <row r="34" spans="1:21" s="51" customFormat="1" ht="16" customHeight="1" x14ac:dyDescent="0.3">
      <c r="A34" s="61">
        <v>0.5</v>
      </c>
      <c r="B34" s="28">
        <v>0.69399999999999995</v>
      </c>
      <c r="C34" s="29">
        <v>0.68899999999999995</v>
      </c>
      <c r="D34" s="30">
        <v>0.67400000000000004</v>
      </c>
      <c r="E34" s="30">
        <v>0.64200000000000002</v>
      </c>
      <c r="F34" s="29">
        <v>0.6</v>
      </c>
      <c r="G34" s="30">
        <v>0.55300000000000005</v>
      </c>
      <c r="H34" s="29">
        <v>0.496</v>
      </c>
      <c r="I34" s="30">
        <v>0.46600000000000003</v>
      </c>
      <c r="J34" s="29">
        <v>0.44600000000000001</v>
      </c>
      <c r="K34" s="30">
        <v>0.442</v>
      </c>
      <c r="L34" s="29">
        <v>0.497</v>
      </c>
      <c r="M34" s="30">
        <v>0.58599999999999997</v>
      </c>
      <c r="N34" s="29">
        <v>0.73399999999999999</v>
      </c>
      <c r="O34" s="30">
        <v>0.83699999999999997</v>
      </c>
      <c r="P34" s="29">
        <v>0.90600000000000003</v>
      </c>
      <c r="Q34" s="30">
        <v>0.92900000000000005</v>
      </c>
      <c r="R34" s="29">
        <v>0.93799999999999994</v>
      </c>
      <c r="S34" s="30">
        <v>0.95499999999999996</v>
      </c>
      <c r="T34" s="29">
        <v>0.97299999999999998</v>
      </c>
      <c r="U34" s="31">
        <v>1</v>
      </c>
    </row>
    <row r="35" spans="1:21" s="51" customFormat="1" ht="16" customHeight="1" x14ac:dyDescent="0.3">
      <c r="A35" s="62">
        <v>0.75</v>
      </c>
      <c r="B35" s="28">
        <v>0.60099999999999998</v>
      </c>
      <c r="C35" s="29">
        <v>0.59699999999999998</v>
      </c>
      <c r="D35" s="30">
        <v>0.57399999999999995</v>
      </c>
      <c r="E35" s="30">
        <v>0.57699999999999996</v>
      </c>
      <c r="F35" s="29">
        <v>0.54</v>
      </c>
      <c r="G35" s="30">
        <v>0.51900000000000002</v>
      </c>
      <c r="H35" s="29">
        <v>0.495</v>
      </c>
      <c r="I35" s="30">
        <v>0.48599999999999999</v>
      </c>
      <c r="J35" s="29">
        <v>0.48199999999999998</v>
      </c>
      <c r="K35" s="30">
        <v>0.48599999999999999</v>
      </c>
      <c r="L35" s="29">
        <v>0.52400000000000002</v>
      </c>
      <c r="M35" s="30">
        <v>0.58499999999999996</v>
      </c>
      <c r="N35" s="29">
        <v>0.72599999999999998</v>
      </c>
      <c r="O35" s="30">
        <v>0.83099999999999996</v>
      </c>
      <c r="P35" s="29">
        <v>0.90700000000000003</v>
      </c>
      <c r="Q35" s="30">
        <v>0.95399999999999996</v>
      </c>
      <c r="R35" s="29">
        <v>0.96099999999999997</v>
      </c>
      <c r="S35" s="30">
        <v>0.95899999999999996</v>
      </c>
      <c r="T35" s="29">
        <v>0.96</v>
      </c>
      <c r="U35" s="31">
        <v>1</v>
      </c>
    </row>
    <row r="36" spans="1:21" s="51" customFormat="1" ht="16" customHeight="1" x14ac:dyDescent="0.3">
      <c r="A36" s="61">
        <v>1</v>
      </c>
      <c r="B36" s="28">
        <v>0.54100000000000004</v>
      </c>
      <c r="C36" s="29">
        <v>0.54900000000000004</v>
      </c>
      <c r="D36" s="30">
        <v>0.53400000000000003</v>
      </c>
      <c r="E36" s="30">
        <v>0.53800000000000003</v>
      </c>
      <c r="F36" s="29">
        <v>0.51</v>
      </c>
      <c r="G36" s="30">
        <v>0.498</v>
      </c>
      <c r="H36" s="29">
        <v>0.48699999999999999</v>
      </c>
      <c r="I36" s="30">
        <v>0.48699999999999999</v>
      </c>
      <c r="J36" s="29">
        <v>0.49</v>
      </c>
      <c r="K36" s="30">
        <v>0.501</v>
      </c>
      <c r="L36" s="29">
        <v>0.53700000000000003</v>
      </c>
      <c r="M36" s="30">
        <v>0.59299999999999997</v>
      </c>
      <c r="N36" s="29">
        <v>0.72699999999999998</v>
      </c>
      <c r="O36" s="30">
        <v>0.83399999999999996</v>
      </c>
      <c r="P36" s="29">
        <v>0.91200000000000003</v>
      </c>
      <c r="Q36" s="30">
        <v>0.96399999999999997</v>
      </c>
      <c r="R36" s="29">
        <v>0.97799999999999998</v>
      </c>
      <c r="S36" s="30">
        <v>0.97199999999999998</v>
      </c>
      <c r="T36" s="29">
        <v>0.98199999999999998</v>
      </c>
      <c r="U36" s="31">
        <v>1</v>
      </c>
    </row>
    <row r="37" spans="1:21" s="51" customFormat="1" ht="16" customHeight="1" x14ac:dyDescent="0.3">
      <c r="A37" s="61">
        <v>1.5</v>
      </c>
      <c r="B37" s="32">
        <v>0.53350000000000009</v>
      </c>
      <c r="C37" s="33">
        <v>0.52049999999999996</v>
      </c>
      <c r="D37" s="34">
        <v>0.52400000000000002</v>
      </c>
      <c r="E37" s="34">
        <v>0.52200000000000002</v>
      </c>
      <c r="F37" s="33">
        <v>0.50449999999999995</v>
      </c>
      <c r="G37" s="34">
        <v>0.498</v>
      </c>
      <c r="H37" s="33">
        <v>0.4955</v>
      </c>
      <c r="I37" s="34">
        <v>0.4995</v>
      </c>
      <c r="J37" s="33">
        <v>0.50649999999999995</v>
      </c>
      <c r="K37" s="34">
        <v>0.52400000000000002</v>
      </c>
      <c r="L37" s="33">
        <v>0.5595</v>
      </c>
      <c r="M37" s="34">
        <v>0.61299999999999999</v>
      </c>
      <c r="N37" s="33">
        <v>0.73849999999999993</v>
      </c>
      <c r="O37" s="34">
        <v>0.84349999999999992</v>
      </c>
      <c r="P37" s="33">
        <v>0.92149999999999999</v>
      </c>
      <c r="Q37" s="34">
        <v>0.97649999999999992</v>
      </c>
      <c r="R37" s="33">
        <v>0.99199999999999999</v>
      </c>
      <c r="S37" s="34">
        <v>0.99449999999999994</v>
      </c>
      <c r="T37" s="33">
        <v>0.99</v>
      </c>
      <c r="U37" s="35">
        <v>1</v>
      </c>
    </row>
    <row r="38" spans="1:21" s="51" customFormat="1" ht="16" customHeight="1" x14ac:dyDescent="0.3">
      <c r="A38" s="61">
        <v>2</v>
      </c>
      <c r="B38" s="28">
        <v>0.52600000000000002</v>
      </c>
      <c r="C38" s="29">
        <v>0.49199999999999999</v>
      </c>
      <c r="D38" s="30">
        <v>0.51400000000000001</v>
      </c>
      <c r="E38" s="30">
        <v>0.50600000000000001</v>
      </c>
      <c r="F38" s="29">
        <v>0.499</v>
      </c>
      <c r="G38" s="30">
        <v>0.498</v>
      </c>
      <c r="H38" s="29">
        <v>0.504</v>
      </c>
      <c r="I38" s="30">
        <v>0.51200000000000001</v>
      </c>
      <c r="J38" s="29">
        <v>0.52300000000000002</v>
      </c>
      <c r="K38" s="30">
        <v>0.54700000000000004</v>
      </c>
      <c r="L38" s="29">
        <v>0.58199999999999996</v>
      </c>
      <c r="M38" s="30">
        <v>0.63300000000000001</v>
      </c>
      <c r="N38" s="29">
        <v>0.75</v>
      </c>
      <c r="O38" s="30">
        <v>0.85299999999999998</v>
      </c>
      <c r="P38" s="29">
        <v>0.93100000000000005</v>
      </c>
      <c r="Q38" s="30">
        <v>0.98899999999999999</v>
      </c>
      <c r="R38" s="29">
        <v>1.006</v>
      </c>
      <c r="S38" s="30">
        <v>1.0169999999999999</v>
      </c>
      <c r="T38" s="29">
        <v>0.998</v>
      </c>
      <c r="U38" s="31">
        <v>1</v>
      </c>
    </row>
    <row r="39" spans="1:21" s="51" customFormat="1" ht="16" customHeight="1" x14ac:dyDescent="0.3">
      <c r="A39" s="62">
        <v>2.5</v>
      </c>
      <c r="B39" s="28">
        <v>0.51500000000000001</v>
      </c>
      <c r="C39" s="29">
        <v>0.4985</v>
      </c>
      <c r="D39" s="30">
        <v>0.51550000000000007</v>
      </c>
      <c r="E39" s="30">
        <v>0.50750000000000006</v>
      </c>
      <c r="F39" s="29">
        <v>0.50350000000000006</v>
      </c>
      <c r="G39" s="30">
        <v>0.50350000000000006</v>
      </c>
      <c r="H39" s="29">
        <v>0.51150000000000007</v>
      </c>
      <c r="I39" s="30">
        <v>0.52049999999999996</v>
      </c>
      <c r="J39" s="29">
        <v>0.53150000000000008</v>
      </c>
      <c r="K39" s="30">
        <v>0.5575</v>
      </c>
      <c r="L39" s="29">
        <v>0.59250000000000003</v>
      </c>
      <c r="M39" s="30">
        <v>0.64349999999999996</v>
      </c>
      <c r="N39" s="29">
        <v>0.75800000000000001</v>
      </c>
      <c r="O39" s="30">
        <v>0.86099999999999999</v>
      </c>
      <c r="P39" s="29">
        <v>0.9365</v>
      </c>
      <c r="Q39" s="30">
        <v>0.99499999999999988</v>
      </c>
      <c r="R39" s="29">
        <v>1.0135000000000001</v>
      </c>
      <c r="S39" s="30">
        <v>1.0259999999999998</v>
      </c>
      <c r="T39" s="29">
        <v>1.014</v>
      </c>
      <c r="U39" s="31">
        <v>1</v>
      </c>
    </row>
    <row r="40" spans="1:21" s="51" customFormat="1" ht="16" customHeight="1" x14ac:dyDescent="0.3">
      <c r="A40" s="61">
        <v>3</v>
      </c>
      <c r="B40" s="28">
        <v>0.504</v>
      </c>
      <c r="C40" s="29">
        <v>0.505</v>
      </c>
      <c r="D40" s="30">
        <v>0.51700000000000002</v>
      </c>
      <c r="E40" s="30">
        <v>0.50900000000000001</v>
      </c>
      <c r="F40" s="29">
        <v>0.50800000000000001</v>
      </c>
      <c r="G40" s="30">
        <v>0.50900000000000001</v>
      </c>
      <c r="H40" s="29">
        <v>0.51900000000000002</v>
      </c>
      <c r="I40" s="30">
        <v>0.52900000000000003</v>
      </c>
      <c r="J40" s="29">
        <v>0.54</v>
      </c>
      <c r="K40" s="30">
        <v>0.56799999999999995</v>
      </c>
      <c r="L40" s="29">
        <v>0.60299999999999998</v>
      </c>
      <c r="M40" s="30">
        <v>0.65400000000000003</v>
      </c>
      <c r="N40" s="29">
        <v>0.76600000000000001</v>
      </c>
      <c r="O40" s="30">
        <v>0.86899999999999999</v>
      </c>
      <c r="P40" s="29">
        <v>0.94199999999999995</v>
      </c>
      <c r="Q40" s="30">
        <v>1.0009999999999999</v>
      </c>
      <c r="R40" s="29">
        <v>1.0209999999999999</v>
      </c>
      <c r="S40" s="30">
        <v>1.0349999999999999</v>
      </c>
      <c r="T40" s="29">
        <v>1.03</v>
      </c>
      <c r="U40" s="31">
        <v>1</v>
      </c>
    </row>
    <row r="41" spans="1:21" s="51" customFormat="1" ht="16" customHeight="1" x14ac:dyDescent="0.3">
      <c r="A41" s="61">
        <v>3.5</v>
      </c>
      <c r="B41" s="32">
        <v>0.50049999999999994</v>
      </c>
      <c r="C41" s="33">
        <v>0.50900000000000001</v>
      </c>
      <c r="D41" s="34">
        <v>0.52049999999999996</v>
      </c>
      <c r="E41" s="34">
        <v>0.51400000000000001</v>
      </c>
      <c r="F41" s="33">
        <v>0.51100000000000001</v>
      </c>
      <c r="G41" s="34">
        <v>0.51500000000000001</v>
      </c>
      <c r="H41" s="33">
        <v>0.52449999999999997</v>
      </c>
      <c r="I41" s="34">
        <v>0.53649999999999998</v>
      </c>
      <c r="J41" s="33">
        <v>0.54800000000000004</v>
      </c>
      <c r="K41" s="34">
        <v>0.57650000000000001</v>
      </c>
      <c r="L41" s="33">
        <v>0.61199999999999999</v>
      </c>
      <c r="M41" s="34">
        <v>0.66050000000000009</v>
      </c>
      <c r="N41" s="33">
        <v>0.77200000000000002</v>
      </c>
      <c r="O41" s="34">
        <v>0.875</v>
      </c>
      <c r="P41" s="33">
        <v>0.95099999999999996</v>
      </c>
      <c r="Q41" s="34">
        <v>1.0044999999999999</v>
      </c>
      <c r="R41" s="33">
        <v>1.0249999999999999</v>
      </c>
      <c r="S41" s="34">
        <v>1.0405</v>
      </c>
      <c r="T41" s="33">
        <v>1.0354999999999999</v>
      </c>
      <c r="U41" s="35">
        <v>1</v>
      </c>
    </row>
    <row r="42" spans="1:21" s="51" customFormat="1" ht="16" customHeight="1" x14ac:dyDescent="0.3">
      <c r="A42" s="61">
        <v>4</v>
      </c>
      <c r="B42" s="28">
        <v>0.497</v>
      </c>
      <c r="C42" s="29">
        <v>0.51300000000000001</v>
      </c>
      <c r="D42" s="30">
        <v>0.52400000000000002</v>
      </c>
      <c r="E42" s="30">
        <v>0.51900000000000002</v>
      </c>
      <c r="F42" s="29">
        <v>0.51400000000000001</v>
      </c>
      <c r="G42" s="30">
        <v>0.52100000000000002</v>
      </c>
      <c r="H42" s="29">
        <v>0.53</v>
      </c>
      <c r="I42" s="30">
        <v>0.54400000000000004</v>
      </c>
      <c r="J42" s="29">
        <v>0.55600000000000005</v>
      </c>
      <c r="K42" s="30">
        <v>0.58499999999999996</v>
      </c>
      <c r="L42" s="29">
        <v>0.621</v>
      </c>
      <c r="M42" s="30">
        <v>0.66700000000000004</v>
      </c>
      <c r="N42" s="29">
        <v>0.77800000000000002</v>
      </c>
      <c r="O42" s="30">
        <v>0.88100000000000001</v>
      </c>
      <c r="P42" s="29">
        <v>0.96</v>
      </c>
      <c r="Q42" s="30">
        <v>1.008</v>
      </c>
      <c r="R42" s="29">
        <v>1.0289999999999999</v>
      </c>
      <c r="S42" s="30">
        <v>1.046</v>
      </c>
      <c r="T42" s="29">
        <v>1.0409999999999999</v>
      </c>
      <c r="U42" s="31">
        <v>1</v>
      </c>
    </row>
    <row r="43" spans="1:21" s="51" customFormat="1" ht="16" customHeight="1" x14ac:dyDescent="0.3">
      <c r="A43" s="62">
        <v>4.5</v>
      </c>
      <c r="B43" s="28">
        <v>0.505</v>
      </c>
      <c r="C43" s="29">
        <v>0.52300000000000002</v>
      </c>
      <c r="D43" s="30">
        <v>0.53100000000000003</v>
      </c>
      <c r="E43" s="30">
        <v>0.52550000000000008</v>
      </c>
      <c r="F43" s="29">
        <v>0.52249999999999996</v>
      </c>
      <c r="G43" s="30">
        <v>0.52649999999999997</v>
      </c>
      <c r="H43" s="29">
        <v>0.53700000000000003</v>
      </c>
      <c r="I43" s="30">
        <v>0.5495000000000001</v>
      </c>
      <c r="J43" s="29">
        <v>0.5615</v>
      </c>
      <c r="K43" s="30">
        <v>0.59499999999999997</v>
      </c>
      <c r="L43" s="29">
        <v>0.63050000000000006</v>
      </c>
      <c r="M43" s="30">
        <v>0.67500000000000004</v>
      </c>
      <c r="N43" s="29">
        <v>0.78100000000000003</v>
      </c>
      <c r="O43" s="30">
        <v>0.88349999999999995</v>
      </c>
      <c r="P43" s="29">
        <v>0.96199999999999997</v>
      </c>
      <c r="Q43" s="30">
        <v>1.006</v>
      </c>
      <c r="R43" s="29">
        <v>1.0265</v>
      </c>
      <c r="S43" s="30">
        <v>1.0415000000000001</v>
      </c>
      <c r="T43" s="29">
        <v>1.0385</v>
      </c>
      <c r="U43" s="31">
        <v>1</v>
      </c>
    </row>
    <row r="44" spans="1:21" s="51" customFormat="1" ht="16" customHeight="1" x14ac:dyDescent="0.3">
      <c r="A44" s="61">
        <v>5</v>
      </c>
      <c r="B44" s="28">
        <v>0.51300000000000001</v>
      </c>
      <c r="C44" s="29">
        <v>0.53300000000000003</v>
      </c>
      <c r="D44" s="30">
        <v>0.53800000000000003</v>
      </c>
      <c r="E44" s="30">
        <v>0.53200000000000003</v>
      </c>
      <c r="F44" s="29">
        <v>0.53100000000000003</v>
      </c>
      <c r="G44" s="30">
        <v>0.53200000000000003</v>
      </c>
      <c r="H44" s="29">
        <v>0.54400000000000004</v>
      </c>
      <c r="I44" s="30">
        <v>0.55500000000000005</v>
      </c>
      <c r="J44" s="29">
        <v>0.56699999999999995</v>
      </c>
      <c r="K44" s="30">
        <v>0.60499999999999998</v>
      </c>
      <c r="L44" s="29">
        <v>0.64</v>
      </c>
      <c r="M44" s="30">
        <v>0.68300000000000005</v>
      </c>
      <c r="N44" s="29">
        <v>0.78400000000000003</v>
      </c>
      <c r="O44" s="30">
        <v>0.88600000000000001</v>
      </c>
      <c r="P44" s="29">
        <v>0.96399999999999997</v>
      </c>
      <c r="Q44" s="30">
        <v>1.004</v>
      </c>
      <c r="R44" s="29">
        <v>1.024</v>
      </c>
      <c r="S44" s="30">
        <v>1.0369999999999999</v>
      </c>
      <c r="T44" s="29">
        <v>1.036</v>
      </c>
      <c r="U44" s="31">
        <v>1</v>
      </c>
    </row>
    <row r="45" spans="1:21" s="51" customFormat="1" ht="16" customHeight="1" thickBot="1" x14ac:dyDescent="0.35">
      <c r="A45" s="62">
        <v>7.5</v>
      </c>
      <c r="B45" s="36">
        <v>0.54700000000000004</v>
      </c>
      <c r="C45" s="37">
        <v>0.57999999999999996</v>
      </c>
      <c r="D45" s="38">
        <v>0.56799999999999995</v>
      </c>
      <c r="E45" s="38">
        <v>0.56999999999999995</v>
      </c>
      <c r="F45" s="37">
        <v>0.57099999999999995</v>
      </c>
      <c r="G45" s="38">
        <v>0.56799999999999995</v>
      </c>
      <c r="H45" s="37">
        <v>0.59</v>
      </c>
      <c r="I45" s="38">
        <v>0.61399999999999999</v>
      </c>
      <c r="J45" s="37">
        <v>0.61399999999999999</v>
      </c>
      <c r="K45" s="38">
        <v>0.64200000000000002</v>
      </c>
      <c r="L45" s="37">
        <v>0.68400000000000005</v>
      </c>
      <c r="M45" s="38">
        <v>0.71899999999999997</v>
      </c>
      <c r="N45" s="37">
        <v>0.82</v>
      </c>
      <c r="O45" s="38">
        <v>0.91200000000000003</v>
      </c>
      <c r="P45" s="37">
        <v>0.97399999999999998</v>
      </c>
      <c r="Q45" s="38">
        <v>1.0109999999999999</v>
      </c>
      <c r="R45" s="37">
        <v>1.0329999999999999</v>
      </c>
      <c r="S45" s="38">
        <v>1.0429999999999999</v>
      </c>
      <c r="T45" s="37">
        <v>1.0429999999999999</v>
      </c>
      <c r="U45" s="39">
        <v>1</v>
      </c>
    </row>
    <row r="46" spans="1:21" s="51" customFormat="1" ht="16" customHeight="1" thickBot="1" x14ac:dyDescent="0.35">
      <c r="P46" s="54"/>
    </row>
    <row r="47" spans="1:21" s="51" customFormat="1" ht="20.25" customHeight="1" thickBot="1" x14ac:dyDescent="0.35">
      <c r="A47" s="58" t="s">
        <v>24</v>
      </c>
      <c r="B47" s="59" t="s">
        <v>27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54"/>
    </row>
    <row r="48" spans="1:21" s="51" customFormat="1" ht="16" customHeight="1" x14ac:dyDescent="0.3">
      <c r="A48" s="40">
        <v>0.25</v>
      </c>
      <c r="B48" s="41">
        <v>1.1299999999999999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54"/>
    </row>
    <row r="49" spans="1:16" s="51" customFormat="1" ht="16" customHeight="1" x14ac:dyDescent="0.3">
      <c r="A49" s="43">
        <v>0.5</v>
      </c>
      <c r="B49" s="44">
        <v>0.88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54"/>
    </row>
    <row r="50" spans="1:16" s="51" customFormat="1" ht="16" customHeight="1" x14ac:dyDescent="0.3">
      <c r="A50" s="45">
        <v>0.75</v>
      </c>
      <c r="B50" s="46">
        <v>0.85899999999999999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</row>
    <row r="51" spans="1:16" s="51" customFormat="1" ht="16" customHeight="1" x14ac:dyDescent="0.3">
      <c r="A51" s="43">
        <v>1</v>
      </c>
      <c r="B51" s="44">
        <v>0.85499999999999998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</row>
    <row r="52" spans="1:16" s="51" customFormat="1" ht="16" customHeight="1" x14ac:dyDescent="0.3">
      <c r="A52" s="43">
        <v>1.5</v>
      </c>
      <c r="B52" s="44">
        <v>0.86250000000000004</v>
      </c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</row>
    <row r="53" spans="1:16" s="51" customFormat="1" ht="16" customHeight="1" x14ac:dyDescent="0.3">
      <c r="A53" s="43">
        <v>2</v>
      </c>
      <c r="B53" s="44">
        <v>0.87</v>
      </c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</row>
    <row r="54" spans="1:16" s="51" customFormat="1" ht="16" customHeight="1" x14ac:dyDescent="0.3">
      <c r="A54" s="45">
        <v>2.5</v>
      </c>
      <c r="B54" s="46">
        <v>0.877</v>
      </c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</row>
    <row r="55" spans="1:16" s="51" customFormat="1" ht="16" customHeight="1" x14ac:dyDescent="0.3">
      <c r="A55" s="43">
        <v>3</v>
      </c>
      <c r="B55" s="44">
        <v>0.88400000000000001</v>
      </c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</row>
    <row r="56" spans="1:16" s="51" customFormat="1" ht="16" customHeight="1" x14ac:dyDescent="0.3">
      <c r="A56" s="43">
        <v>3.5</v>
      </c>
      <c r="B56" s="44">
        <v>0.88949999999999996</v>
      </c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</row>
    <row r="57" spans="1:16" s="51" customFormat="1" ht="16" customHeight="1" x14ac:dyDescent="0.3">
      <c r="A57" s="43">
        <v>4</v>
      </c>
      <c r="B57" s="44">
        <v>0.89500000000000002</v>
      </c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</row>
    <row r="58" spans="1:16" s="51" customFormat="1" ht="16" customHeight="1" x14ac:dyDescent="0.3">
      <c r="A58" s="45">
        <v>4.5</v>
      </c>
      <c r="B58" s="46">
        <v>0.89600000000000002</v>
      </c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</row>
    <row r="59" spans="1:16" s="51" customFormat="1" ht="16" customHeight="1" x14ac:dyDescent="0.3">
      <c r="A59" s="43">
        <v>5</v>
      </c>
      <c r="B59" s="44">
        <v>0.89700000000000002</v>
      </c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</row>
    <row r="60" spans="1:16" s="51" customFormat="1" ht="16" customHeight="1" thickBot="1" x14ac:dyDescent="0.35">
      <c r="A60" s="47">
        <v>7.5</v>
      </c>
      <c r="B60" s="48">
        <v>0.91800000000000004</v>
      </c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</row>
    <row r="61" spans="1:16" ht="16" customHeight="1" x14ac:dyDescent="0.3"/>
    <row r="62" spans="1:16" ht="16" customHeight="1" x14ac:dyDescent="0.3"/>
    <row r="63" spans="1:16" ht="16" customHeight="1" x14ac:dyDescent="0.3"/>
    <row r="64" spans="1:16" ht="16" customHeight="1" x14ac:dyDescent="0.3"/>
    <row r="65" ht="16" customHeight="1" x14ac:dyDescent="0.3"/>
    <row r="66" ht="16" customHeight="1" x14ac:dyDescent="0.3"/>
    <row r="67" ht="16" customHeight="1" x14ac:dyDescent="0.3"/>
    <row r="68" ht="16" customHeight="1" x14ac:dyDescent="0.3"/>
    <row r="69" ht="16" customHeight="1" x14ac:dyDescent="0.3"/>
    <row r="70" ht="16" customHeight="1" x14ac:dyDescent="0.3"/>
    <row r="71" ht="16" customHeight="1" x14ac:dyDescent="0.3"/>
    <row r="72" ht="16" customHeight="1" x14ac:dyDescent="0.3"/>
    <row r="73" ht="16" customHeight="1" x14ac:dyDescent="0.3"/>
  </sheetData>
  <mergeCells count="11">
    <mergeCell ref="F17:H18"/>
    <mergeCell ref="B31:U31"/>
    <mergeCell ref="A7:E7"/>
    <mergeCell ref="I14:L14"/>
    <mergeCell ref="A1:E1"/>
    <mergeCell ref="I4:I5"/>
    <mergeCell ref="J4:J5"/>
    <mergeCell ref="K4:K5"/>
    <mergeCell ref="I3:K3"/>
    <mergeCell ref="H12:J12"/>
    <mergeCell ref="B2:F2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PP Line</vt:lpstr>
      <vt:lpstr>PP Plane</vt:lpstr>
      <vt:lpstr>PP Volume</vt:lpstr>
      <vt:lpstr>Ir-192 HDR</vt:lpstr>
      <vt:lpstr>Ir-192 LDR</vt:lpstr>
      <vt:lpstr>I-125</vt:lpstr>
      <vt:lpstr>Pd-103</vt:lpstr>
      <vt:lpstr>'PP Volume'!OLE_LINK1</vt:lpstr>
    </vt:vector>
  </TitlesOfParts>
  <Company>Microsoft Office XP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 Spadinger</dc:creator>
  <cp:lastModifiedBy>Luke Polson</cp:lastModifiedBy>
  <cp:lastPrinted>2007-04-07T21:36:08Z</cp:lastPrinted>
  <dcterms:created xsi:type="dcterms:W3CDTF">2005-08-14T17:37:43Z</dcterms:created>
  <dcterms:modified xsi:type="dcterms:W3CDTF">2022-03-30T04:18:51Z</dcterms:modified>
</cp:coreProperties>
</file>