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kep\Documents\videos\School\Phys 535\"/>
    </mc:Choice>
  </mc:AlternateContent>
  <xr:revisionPtr revIDLastSave="0" documentId="13_ncr:1_{25D0FEA2-A798-4F77-83F9-5CF3F2E9321C}" xr6:coauthVersionLast="47" xr6:coauthVersionMax="47" xr10:uidLastSave="{00000000-0000-0000-0000-000000000000}"/>
  <bookViews>
    <workbookView xWindow="7011" yWindow="3463" windowWidth="17932" windowHeight="12343" tabRatio="863" firstSheet="2" activeTab="11" xr2:uid="{00000000-000D-0000-FFFF-FFFF00000000}"/>
  </bookViews>
  <sheets>
    <sheet name="100 kVp data" sheetId="38" r:id="rId1"/>
    <sheet name="250 kVp data" sheetId="39" r:id="rId2"/>
    <sheet name="60Co PDD" sheetId="41" r:id="rId3"/>
    <sheet name="60Co TMR" sheetId="43" r:id="rId4"/>
    <sheet name="60Co outputs" sheetId="14" r:id="rId5"/>
    <sheet name="6 MV PDD" sheetId="45" r:id="rId6"/>
    <sheet name="6 MV TMR" sheetId="46" r:id="rId7"/>
    <sheet name="10 MV PDD" sheetId="47" r:id="rId8"/>
    <sheet name="10 MV TMR" sheetId="48" r:id="rId9"/>
    <sheet name="15 MV PDD" sheetId="49" r:id="rId10"/>
    <sheet name="15 MV TMR" sheetId="50" r:id="rId11"/>
    <sheet name="18 MV PDD" sheetId="51" r:id="rId12"/>
    <sheet name="18 MV TMR" sheetId="52" r:id="rId13"/>
    <sheet name="Linac outputs" sheetId="37" r:id="rId14"/>
    <sheet name="eq squares" sheetId="53" r:id="rId15"/>
    <sheet name="eq radii" sheetId="54" r:id="rId16"/>
  </sheets>
  <functionGroups builtInGroupCount="19"/>
  <definedNames>
    <definedName name="_xlnm.Print_Area" localSheetId="7">'10 MV PDD'!$A$1:$K$33</definedName>
    <definedName name="_xlnm.Print_Area" localSheetId="8">'10 MV TMR'!$A$1:$K$33</definedName>
    <definedName name="_xlnm.Print_Area" localSheetId="0">'100 kVp data'!$A$1:$M$47</definedName>
    <definedName name="_xlnm.Print_Area" localSheetId="9">'15 MV PDD'!$A$1:$K$33</definedName>
    <definedName name="_xlnm.Print_Area" localSheetId="10">'15 MV TMR'!$A$1:$K$33</definedName>
    <definedName name="_xlnm.Print_Area" localSheetId="11">'18 MV PDD'!$A$1:$K$32</definedName>
    <definedName name="_xlnm.Print_Area" localSheetId="12">'18 MV TMR'!$A$1:$K$32</definedName>
    <definedName name="_xlnm.Print_Area" localSheetId="1">'250 kVp data'!$A$1:$K$67</definedName>
    <definedName name="_xlnm.Print_Area" localSheetId="5">'6 MV PDD'!$A$1:$K$34</definedName>
    <definedName name="_xlnm.Print_Area" localSheetId="6">'6 MV TMR'!$A$1:$K$34</definedName>
    <definedName name="_xlnm.Print_Area" localSheetId="4">'60Co outputs'!$A$1:$L$21</definedName>
    <definedName name="_xlnm.Print_Area" localSheetId="2">'60Co PDD'!$A$1:$K$30</definedName>
    <definedName name="_xlnm.Print_Area" localSheetId="3">'60Co TMR'!$A$1:$K$30</definedName>
    <definedName name="_xlnm.Print_Area" localSheetId="15">'eq radii'!$A$1:$Z$27</definedName>
    <definedName name="_xlnm.Print_Area" localSheetId="14">'eq squares'!$A$1:$Z$27</definedName>
    <definedName name="_xlnm.Print_Area" localSheetId="13">'Linac outputs'!$A$1:$AD$25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3" i="39" l="1"/>
  <c r="R30" i="39"/>
  <c r="J40" i="38"/>
  <c r="K40" i="38"/>
  <c r="L40" i="38"/>
  <c r="M40" i="38"/>
  <c r="M45" i="38" s="1"/>
  <c r="I40" i="38"/>
  <c r="I45" i="38" s="1"/>
  <c r="C40" i="38"/>
  <c r="C45" i="38" s="1"/>
  <c r="D40" i="38"/>
  <c r="E40" i="38"/>
  <c r="E45" i="38" s="1"/>
  <c r="F40" i="38"/>
  <c r="F45" i="38" s="1"/>
  <c r="B40" i="38"/>
  <c r="F23" i="38"/>
  <c r="S30" i="39" a="1"/>
  <c r="Q20" i="39"/>
  <c r="S19" i="38"/>
  <c r="R27" i="39" a="1"/>
  <c r="R23" i="39"/>
  <c r="P19" i="38"/>
  <c r="R27" i="39" l="1"/>
  <c r="S30" i="39"/>
  <c r="L43" i="38"/>
  <c r="S23" i="39"/>
  <c r="R20" i="39"/>
  <c r="Q19" i="38"/>
  <c r="T19" i="38"/>
  <c r="B43" i="38"/>
  <c r="K43" i="38"/>
  <c r="D43" i="38"/>
  <c r="M43" i="38"/>
  <c r="L45" i="38"/>
  <c r="J43" i="38"/>
  <c r="C43" i="38"/>
  <c r="D45" i="38"/>
  <c r="F43" i="38"/>
  <c r="B45" i="38"/>
  <c r="K45" i="38"/>
  <c r="I43" i="38"/>
  <c r="E43" i="38"/>
  <c r="J45" i="38"/>
  <c r="R4" i="14"/>
  <c r="C3" i="53" a="1"/>
  <c r="V3" i="53" s="1"/>
  <c r="D4" i="53" a="1"/>
  <c r="M4" i="53" s="1"/>
  <c r="E5" i="53" a="1"/>
  <c r="P5" i="53" s="1"/>
  <c r="F6" i="53" a="1"/>
  <c r="H6" i="53" s="1"/>
  <c r="G7" i="53" a="1"/>
  <c r="K7" i="53" s="1"/>
  <c r="H8" i="53" a="1"/>
  <c r="T8" i="53" s="1"/>
  <c r="I9" i="53" a="1"/>
  <c r="I9" i="53" s="1"/>
  <c r="J10" i="53" a="1"/>
  <c r="J10" i="53" s="1"/>
  <c r="K11" i="53" a="1"/>
  <c r="M11" i="53" s="1"/>
  <c r="K11" i="53"/>
  <c r="L12" i="53" a="1"/>
  <c r="M13" i="53" a="1"/>
  <c r="O13" i="53" s="1"/>
  <c r="M13" i="53"/>
  <c r="N14" i="53" a="1"/>
  <c r="N14" i="53" s="1"/>
  <c r="O15" i="53" a="1"/>
  <c r="P15" i="53" s="1"/>
  <c r="Q15" i="53"/>
  <c r="P16" i="53" a="1"/>
  <c r="Q16" i="53" s="1"/>
  <c r="Q17" i="53" a="1"/>
  <c r="Q17" i="53" s="1"/>
  <c r="R18" i="53" a="1"/>
  <c r="Y18" i="53" s="1"/>
  <c r="T18" i="53"/>
  <c r="S19" i="53" a="1"/>
  <c r="S19" i="53" s="1"/>
  <c r="T20" i="53" a="1"/>
  <c r="T20" i="53" s="1"/>
  <c r="V20" i="53"/>
  <c r="U21" i="53" a="1"/>
  <c r="V22" i="53" a="1"/>
  <c r="X22" i="53" s="1"/>
  <c r="W23" i="53" a="1"/>
  <c r="Y23" i="53" s="1"/>
  <c r="W23" i="53"/>
  <c r="X24" i="53" a="1"/>
  <c r="Z24" i="53" s="1"/>
  <c r="X24" i="53"/>
  <c r="Y25" i="53" a="1"/>
  <c r="Y25" i="53" s="1"/>
  <c r="Z26" i="53"/>
  <c r="C3" i="54" a="1"/>
  <c r="C3" i="54" s="1"/>
  <c r="D4" i="54" a="1"/>
  <c r="Q4" i="54" s="1"/>
  <c r="N4" i="54"/>
  <c r="V4" i="54"/>
  <c r="E5" i="54" a="1"/>
  <c r="E5" i="54" s="1"/>
  <c r="G5" i="54"/>
  <c r="W5" i="54"/>
  <c r="F6" i="54" a="1"/>
  <c r="P6" i="54" s="1"/>
  <c r="G7" i="54" a="1"/>
  <c r="V7" i="54" s="1"/>
  <c r="H8" i="54" a="1"/>
  <c r="Q8" i="54" s="1"/>
  <c r="I9" i="54" a="1"/>
  <c r="I9" i="54" s="1"/>
  <c r="J10" i="54" a="1"/>
  <c r="J10" i="54" s="1"/>
  <c r="K11" i="54" a="1"/>
  <c r="L12" i="54" a="1"/>
  <c r="Z12" i="54" s="1"/>
  <c r="V12" i="54"/>
  <c r="M13" i="54" a="1"/>
  <c r="Z13" i="54" s="1"/>
  <c r="W13" i="54"/>
  <c r="N14" i="54" a="1"/>
  <c r="P14" i="54" s="1"/>
  <c r="O15" i="54" a="1"/>
  <c r="O15" i="54" s="1"/>
  <c r="P16" i="54" a="1"/>
  <c r="Q17" i="54" a="1"/>
  <c r="Q17" i="54" s="1"/>
  <c r="R18" i="54" a="1"/>
  <c r="X18" i="54" s="1"/>
  <c r="S19" i="54" a="1"/>
  <c r="U19" i="54" s="1"/>
  <c r="T20" i="54" a="1"/>
  <c r="Y20" i="54" s="1"/>
  <c r="V20" i="54"/>
  <c r="U21" i="54" a="1"/>
  <c r="W21" i="54" s="1"/>
  <c r="V22" i="54" a="1"/>
  <c r="V22" i="54" s="1"/>
  <c r="W23" i="54" a="1"/>
  <c r="W23" i="54" s="1"/>
  <c r="X24" i="54" a="1"/>
  <c r="X24" i="54" s="1"/>
  <c r="Y25" i="54" a="1"/>
  <c r="Y25" i="54" s="1"/>
  <c r="Z26" i="54"/>
  <c r="B23" i="38"/>
  <c r="C23" i="38"/>
  <c r="D23" i="38"/>
  <c r="E23" i="38"/>
  <c r="I23" i="38"/>
  <c r="J23" i="38"/>
  <c r="K23" i="38"/>
  <c r="L23" i="38"/>
  <c r="M23" i="38"/>
  <c r="S8" i="14"/>
  <c r="T8" i="14"/>
  <c r="U8" i="14"/>
  <c r="V8" i="14"/>
  <c r="W8" i="14"/>
  <c r="X8" i="14"/>
  <c r="Y8" i="14"/>
  <c r="Z8" i="14"/>
  <c r="R8" i="14"/>
  <c r="T6" i="14"/>
  <c r="U6" i="14"/>
  <c r="S6" i="14"/>
  <c r="R6" i="14"/>
  <c r="T4" i="14"/>
  <c r="U4" i="14"/>
  <c r="S4" i="14"/>
  <c r="V4" i="14"/>
  <c r="W4" i="14"/>
  <c r="X4" i="14"/>
  <c r="Y4" i="14"/>
  <c r="Z4" i="14"/>
  <c r="Z6" i="14"/>
  <c r="V6" i="14"/>
  <c r="W6" i="14"/>
  <c r="X6" i="14"/>
  <c r="Y6" i="14"/>
  <c r="S14" i="54"/>
  <c r="X13" i="54"/>
  <c r="T13" i="54"/>
  <c r="P13" i="54"/>
  <c r="Y12" i="54"/>
  <c r="M12" i="54"/>
  <c r="Z5" i="54"/>
  <c r="X5" i="54"/>
  <c r="V5" i="54"/>
  <c r="T5" i="54"/>
  <c r="R5" i="54"/>
  <c r="P5" i="54"/>
  <c r="N5" i="54"/>
  <c r="L5" i="54"/>
  <c r="J5" i="54"/>
  <c r="H5" i="54"/>
  <c r="F5" i="54"/>
  <c r="Y4" i="54"/>
  <c r="W4" i="54"/>
  <c r="S4" i="54"/>
  <c r="O4" i="54"/>
  <c r="K4" i="54"/>
  <c r="I4" i="54"/>
  <c r="G4" i="54"/>
  <c r="X23" i="53"/>
  <c r="W22" i="53"/>
  <c r="W18" i="53"/>
  <c r="S18" i="53"/>
  <c r="T15" i="53"/>
  <c r="X13" i="53"/>
  <c r="T13" i="53"/>
  <c r="P13" i="53"/>
  <c r="Z7" i="54"/>
  <c r="R7" i="54"/>
  <c r="J7" i="54"/>
  <c r="H3" i="54"/>
  <c r="R11" i="53"/>
  <c r="N11" i="53"/>
  <c r="Y10" i="53"/>
  <c r="U10" i="53"/>
  <c r="M10" i="53"/>
  <c r="J7" i="53"/>
  <c r="Y6" i="53"/>
  <c r="W6" i="53"/>
  <c r="U6" i="53"/>
  <c r="S6" i="53"/>
  <c r="Q6" i="53"/>
  <c r="O6" i="53"/>
  <c r="M6" i="53"/>
  <c r="K6" i="53"/>
  <c r="I6" i="53"/>
  <c r="G6" i="53"/>
  <c r="Z3" i="53"/>
  <c r="R3" i="53"/>
  <c r="J3" i="53"/>
  <c r="F3" i="53"/>
  <c r="Z25" i="54"/>
  <c r="W20" i="54"/>
  <c r="V17" i="54"/>
  <c r="W15" i="54"/>
  <c r="U13" i="54"/>
  <c r="W7" i="54"/>
  <c r="O7" i="54"/>
  <c r="Y5" i="54"/>
  <c r="U5" i="54"/>
  <c r="Q5" i="54"/>
  <c r="M5" i="54"/>
  <c r="I5" i="54"/>
  <c r="K3" i="54"/>
  <c r="Z10" i="53"/>
  <c r="R10" i="53"/>
  <c r="Y8" i="53"/>
  <c r="M8" i="53"/>
  <c r="O7" i="53"/>
  <c r="Z6" i="53"/>
  <c r="V6" i="53"/>
  <c r="R6" i="53"/>
  <c r="N6" i="53"/>
  <c r="J6" i="53"/>
  <c r="R5" i="53"/>
  <c r="F5" i="53"/>
  <c r="S3" i="53"/>
  <c r="T16" i="54"/>
  <c r="X12" i="54"/>
  <c r="W10" i="54"/>
  <c r="S10" i="54"/>
  <c r="K10" i="54"/>
  <c r="S5" i="54"/>
  <c r="K5" i="54"/>
  <c r="Y24" i="53"/>
  <c r="W20" i="53"/>
  <c r="O9" i="54"/>
  <c r="X4" i="54"/>
  <c r="P4" i="54"/>
  <c r="H4" i="54"/>
  <c r="Q11" i="53"/>
  <c r="P10" i="53"/>
  <c r="L4" i="53"/>
  <c r="H4" i="53"/>
  <c r="I3" i="53"/>
  <c r="Y9" i="53"/>
  <c r="X10" i="53"/>
  <c r="Y11" i="53"/>
  <c r="U20" i="53"/>
  <c r="Y20" i="53"/>
  <c r="Y10" i="54"/>
  <c r="N11" i="54"/>
  <c r="R11" i="54"/>
  <c r="Z11" i="54"/>
  <c r="G3" i="53"/>
  <c r="O3" i="53"/>
  <c r="W3" i="53"/>
  <c r="P9" i="53"/>
  <c r="V10" i="53"/>
  <c r="K7" i="54"/>
  <c r="M9" i="54"/>
  <c r="T17" i="54"/>
  <c r="X17" i="54"/>
  <c r="Z23" i="54"/>
  <c r="D3" i="53"/>
  <c r="H3" i="53"/>
  <c r="L3" i="53"/>
  <c r="T3" i="53"/>
  <c r="X3" i="53"/>
  <c r="H7" i="53"/>
  <c r="X7" i="53"/>
  <c r="W10" i="53"/>
  <c r="T11" i="53"/>
  <c r="X11" i="53"/>
  <c r="L7" i="54"/>
  <c r="T7" i="54"/>
  <c r="X7" i="54"/>
  <c r="N13" i="53"/>
  <c r="R13" i="53"/>
  <c r="V13" i="53"/>
  <c r="Z13" i="53"/>
  <c r="Y14" i="53"/>
  <c r="R15" i="53"/>
  <c r="V15" i="53"/>
  <c r="U18" i="53"/>
  <c r="Z23" i="53"/>
  <c r="Q14" i="54"/>
  <c r="V15" i="54"/>
  <c r="Y17" i="54"/>
  <c r="U17" i="54"/>
  <c r="X14" i="54"/>
  <c r="Z10" i="54"/>
  <c r="V10" i="54"/>
  <c r="R10" i="54"/>
  <c r="S9" i="54"/>
  <c r="M7" i="54"/>
  <c r="X20" i="53"/>
  <c r="Z18" i="53"/>
  <c r="S15" i="53"/>
  <c r="Y13" i="53"/>
  <c r="U13" i="53"/>
  <c r="Q13" i="53"/>
  <c r="U11" i="53"/>
  <c r="T10" i="53"/>
  <c r="W9" i="53"/>
  <c r="O9" i="53"/>
  <c r="M3" i="53"/>
  <c r="R17" i="54"/>
  <c r="Z17" i="54"/>
  <c r="U20" i="54"/>
  <c r="X21" i="54"/>
  <c r="L9" i="54"/>
  <c r="Y21" i="54"/>
  <c r="W17" i="54"/>
  <c r="Q7" i="54"/>
  <c r="O5" i="54"/>
  <c r="Z4" i="54"/>
  <c r="R4" i="54"/>
  <c r="J4" i="54"/>
  <c r="Z20" i="53"/>
  <c r="U17" i="53"/>
  <c r="U15" i="53"/>
  <c r="S13" i="53"/>
  <c r="S9" i="53"/>
  <c r="T6" i="53"/>
  <c r="L6" i="53"/>
  <c r="Q5" i="53"/>
  <c r="R4" i="53"/>
  <c r="U3" i="53"/>
  <c r="AD13" i="53"/>
  <c r="N5" i="14"/>
  <c r="N6" i="14"/>
  <c r="N7" i="14"/>
  <c r="P18" i="37"/>
  <c r="Q6" i="37"/>
  <c r="T24" i="38" a="1"/>
  <c r="O14" i="41"/>
  <c r="O13" i="50"/>
  <c r="O12" i="51"/>
  <c r="P6" i="37"/>
  <c r="O13" i="48"/>
  <c r="O14" i="43"/>
  <c r="O14" i="46"/>
  <c r="O13" i="47"/>
  <c r="AD13" i="54"/>
  <c r="AI6" i="37"/>
  <c r="Q24" i="38" a="1"/>
  <c r="O30" i="37"/>
  <c r="O13" i="45"/>
  <c r="AH6" i="37"/>
  <c r="AJ6" i="37" s="1"/>
  <c r="AI18" i="37"/>
  <c r="P14" i="14"/>
  <c r="O13" i="49"/>
  <c r="O14" i="52"/>
  <c r="Q18" i="37"/>
  <c r="AH18" i="37"/>
  <c r="T24" i="38" l="1"/>
  <c r="Q24" i="38"/>
  <c r="U5" i="53"/>
  <c r="Y17" i="53"/>
  <c r="R14" i="53"/>
  <c r="V9" i="54"/>
  <c r="U6" i="54"/>
  <c r="O6" i="54"/>
  <c r="H5" i="53"/>
  <c r="Q8" i="53"/>
  <c r="O3" i="54"/>
  <c r="V19" i="54"/>
  <c r="R8" i="53"/>
  <c r="I5" i="53"/>
  <c r="Y5" i="53"/>
  <c r="W14" i="54"/>
  <c r="V14" i="53"/>
  <c r="J6" i="54"/>
  <c r="Z6" i="54"/>
  <c r="Y14" i="54"/>
  <c r="N9" i="54"/>
  <c r="P11" i="53"/>
  <c r="P7" i="53"/>
  <c r="Z19" i="54"/>
  <c r="V14" i="54"/>
  <c r="W11" i="53"/>
  <c r="S7" i="53"/>
  <c r="Q6" i="54"/>
  <c r="P4" i="53"/>
  <c r="S6" i="54"/>
  <c r="J5" i="53"/>
  <c r="X5" i="53"/>
  <c r="W7" i="53"/>
  <c r="U8" i="53"/>
  <c r="R14" i="54"/>
  <c r="V11" i="53"/>
  <c r="O12" i="54"/>
  <c r="T19" i="54"/>
  <c r="N8" i="53"/>
  <c r="R6" i="54"/>
  <c r="Y6" i="54"/>
  <c r="I6" i="54"/>
  <c r="K6" i="54"/>
  <c r="Z8" i="53"/>
  <c r="V6" i="54"/>
  <c r="R15" i="54"/>
  <c r="Y19" i="54"/>
  <c r="V5" i="53"/>
  <c r="J3" i="54"/>
  <c r="Y22" i="53"/>
  <c r="X15" i="54"/>
  <c r="M5" i="53"/>
  <c r="O14" i="54"/>
  <c r="N6" i="54"/>
  <c r="X19" i="54"/>
  <c r="U14" i="54"/>
  <c r="J9" i="54"/>
  <c r="L11" i="53"/>
  <c r="L7" i="53"/>
  <c r="U9" i="54"/>
  <c r="O11" i="53"/>
  <c r="T14" i="54"/>
  <c r="M6" i="54"/>
  <c r="W9" i="54"/>
  <c r="Z22" i="53"/>
  <c r="G6" i="54"/>
  <c r="W6" i="54"/>
  <c r="P12" i="54"/>
  <c r="K4" i="53"/>
  <c r="N5" i="53"/>
  <c r="Z5" i="53"/>
  <c r="I8" i="53"/>
  <c r="W8" i="53"/>
  <c r="S11" i="53"/>
  <c r="Z14" i="54"/>
  <c r="Z21" i="54"/>
  <c r="Z11" i="53"/>
  <c r="T19" i="53"/>
  <c r="Q12" i="54"/>
  <c r="W22" i="54"/>
  <c r="T6" i="54"/>
  <c r="L8" i="53"/>
  <c r="W5" i="53"/>
  <c r="U21" i="54"/>
  <c r="S17" i="54"/>
  <c r="Y15" i="54"/>
  <c r="N14" i="54"/>
  <c r="O13" i="54"/>
  <c r="L12" i="54"/>
  <c r="Y7" i="54"/>
  <c r="Y15" i="53"/>
  <c r="W13" i="53"/>
  <c r="F6" i="53"/>
  <c r="K5" i="53"/>
  <c r="X22" i="54"/>
  <c r="S19" i="54"/>
  <c r="Q15" i="54"/>
  <c r="I7" i="54"/>
  <c r="L6" i="54"/>
  <c r="G5" i="53"/>
  <c r="E3" i="53"/>
  <c r="H6" i="54"/>
  <c r="X6" i="53"/>
  <c r="W19" i="54"/>
  <c r="V21" i="54"/>
  <c r="R13" i="54"/>
  <c r="T15" i="54"/>
  <c r="T20" i="54"/>
  <c r="S13" i="54"/>
  <c r="N12" i="54"/>
  <c r="X10" i="54"/>
  <c r="X6" i="54"/>
  <c r="F6" i="54"/>
  <c r="F4" i="54"/>
  <c r="V22" i="53"/>
  <c r="R18" i="53"/>
  <c r="V8" i="53"/>
  <c r="J8" i="53"/>
  <c r="P6" i="53"/>
  <c r="O5" i="53"/>
  <c r="D4" i="53"/>
  <c r="U18" i="54"/>
  <c r="W16" i="53"/>
  <c r="L8" i="54"/>
  <c r="Z18" i="54"/>
  <c r="U21" i="53"/>
  <c r="X21" i="53"/>
  <c r="W21" i="53"/>
  <c r="V21" i="53"/>
  <c r="Y16" i="53"/>
  <c r="Z9" i="54"/>
  <c r="Y9" i="54"/>
  <c r="Q9" i="54"/>
  <c r="K9" i="54"/>
  <c r="X9" i="54"/>
  <c r="R9" i="54"/>
  <c r="P9" i="54"/>
  <c r="V17" i="53"/>
  <c r="S17" i="53"/>
  <c r="X17" i="53"/>
  <c r="Z17" i="53"/>
  <c r="R17" i="53"/>
  <c r="W17" i="53"/>
  <c r="T17" i="53"/>
  <c r="R9" i="53"/>
  <c r="T9" i="53"/>
  <c r="N9" i="53"/>
  <c r="X9" i="53"/>
  <c r="J9" i="53"/>
  <c r="Q9" i="53"/>
  <c r="K9" i="53"/>
  <c r="Z9" i="53"/>
  <c r="U9" i="53"/>
  <c r="L9" i="53"/>
  <c r="V9" i="53"/>
  <c r="M9" i="53"/>
  <c r="Y7" i="53"/>
  <c r="Z7" i="53"/>
  <c r="M7" i="53"/>
  <c r="V7" i="53"/>
  <c r="U7" i="53"/>
  <c r="R7" i="53"/>
  <c r="N7" i="53"/>
  <c r="G7" i="53"/>
  <c r="T7" i="53"/>
  <c r="Q7" i="53"/>
  <c r="I7" i="53"/>
  <c r="Q11" i="54"/>
  <c r="X11" i="54"/>
  <c r="W11" i="54"/>
  <c r="U11" i="54"/>
  <c r="T11" i="54"/>
  <c r="S11" i="54"/>
  <c r="Y11" i="54"/>
  <c r="P11" i="54"/>
  <c r="O11" i="54"/>
  <c r="L11" i="54"/>
  <c r="K11" i="54"/>
  <c r="V11" i="54"/>
  <c r="M11" i="54"/>
  <c r="U3" i="54"/>
  <c r="R3" i="54"/>
  <c r="Y3" i="54"/>
  <c r="P3" i="54"/>
  <c r="Q3" i="54"/>
  <c r="L3" i="54"/>
  <c r="S3" i="54"/>
  <c r="N3" i="54"/>
  <c r="W3" i="54"/>
  <c r="I3" i="54"/>
  <c r="E3" i="54"/>
  <c r="V3" i="54"/>
  <c r="F3" i="54"/>
  <c r="G3" i="54"/>
  <c r="M3" i="54"/>
  <c r="T3" i="54"/>
  <c r="D3" i="54"/>
  <c r="Y18" i="54"/>
  <c r="V18" i="54"/>
  <c r="W18" i="54"/>
  <c r="R18" i="54"/>
  <c r="T18" i="54"/>
  <c r="Y21" i="53"/>
  <c r="S18" i="54"/>
  <c r="Z21" i="53"/>
  <c r="X3" i="54"/>
  <c r="V16" i="54"/>
  <c r="U16" i="54"/>
  <c r="S16" i="54"/>
  <c r="Z16" i="54"/>
  <c r="Q16" i="54"/>
  <c r="X16" i="54"/>
  <c r="P16" i="54"/>
  <c r="Y16" i="54"/>
  <c r="R16" i="54"/>
  <c r="W16" i="54"/>
  <c r="N8" i="54"/>
  <c r="Y8" i="54"/>
  <c r="I8" i="54"/>
  <c r="X8" i="54"/>
  <c r="R8" i="54"/>
  <c r="W8" i="54"/>
  <c r="T8" i="54"/>
  <c r="V8" i="54"/>
  <c r="U8" i="54"/>
  <c r="P8" i="54"/>
  <c r="Z8" i="54"/>
  <c r="S8" i="54"/>
  <c r="H8" i="54"/>
  <c r="M8" i="54"/>
  <c r="J8" i="54"/>
  <c r="K8" i="54"/>
  <c r="T16" i="53"/>
  <c r="V16" i="53"/>
  <c r="X16" i="53"/>
  <c r="Z16" i="53"/>
  <c r="P16" i="53"/>
  <c r="S16" i="53"/>
  <c r="R16" i="53"/>
  <c r="U12" i="53"/>
  <c r="W12" i="53"/>
  <c r="Z12" i="53"/>
  <c r="Q12" i="53"/>
  <c r="R12" i="53"/>
  <c r="M12" i="53"/>
  <c r="X12" i="53"/>
  <c r="L12" i="53"/>
  <c r="T12" i="53"/>
  <c r="O12" i="53"/>
  <c r="N12" i="53"/>
  <c r="Y12" i="53"/>
  <c r="V4" i="53"/>
  <c r="U4" i="53"/>
  <c r="E4" i="53"/>
  <c r="X4" i="53"/>
  <c r="S4" i="53"/>
  <c r="Q4" i="53"/>
  <c r="T4" i="53"/>
  <c r="O4" i="53"/>
  <c r="F4" i="53"/>
  <c r="Y4" i="53"/>
  <c r="I4" i="53"/>
  <c r="J4" i="53"/>
  <c r="N4" i="53"/>
  <c r="W4" i="53"/>
  <c r="G4" i="53"/>
  <c r="Z4" i="53"/>
  <c r="V12" i="53"/>
  <c r="T9" i="54"/>
  <c r="U16" i="53"/>
  <c r="S12" i="53"/>
  <c r="P12" i="53"/>
  <c r="Z3" i="54"/>
  <c r="O8" i="54"/>
  <c r="X23" i="54"/>
  <c r="Y23" i="54"/>
  <c r="X14" i="53"/>
  <c r="W14" i="53"/>
  <c r="Q14" i="53"/>
  <c r="O14" i="53"/>
  <c r="S14" i="53"/>
  <c r="U14" i="53"/>
  <c r="Z14" i="53"/>
  <c r="P14" i="53"/>
  <c r="T14" i="53"/>
  <c r="N10" i="54"/>
  <c r="U15" i="54"/>
  <c r="Z15" i="54"/>
  <c r="Z15" i="53"/>
  <c r="S15" i="54"/>
  <c r="Y3" i="53"/>
  <c r="T4" i="54"/>
  <c r="O10" i="54"/>
  <c r="T12" i="54"/>
  <c r="T5" i="53"/>
  <c r="S8" i="53"/>
  <c r="Y13" i="54"/>
  <c r="Y22" i="54"/>
  <c r="Q10" i="53"/>
  <c r="X15" i="53"/>
  <c r="E4" i="54"/>
  <c r="U4" i="54"/>
  <c r="N13" i="54"/>
  <c r="P15" i="54"/>
  <c r="R12" i="54"/>
  <c r="X18" i="53"/>
  <c r="P8" i="53"/>
  <c r="S5" i="53"/>
  <c r="T10" i="54"/>
  <c r="Z22" i="54"/>
  <c r="V18" i="53"/>
  <c r="Z19" i="53"/>
  <c r="P7" i="54"/>
  <c r="S10" i="53"/>
  <c r="S7" i="54"/>
  <c r="N10" i="53"/>
  <c r="U10" i="54"/>
  <c r="Z25" i="53"/>
  <c r="X20" i="54"/>
  <c r="K3" i="53"/>
  <c r="L5" i="53"/>
  <c r="K8" i="53"/>
  <c r="N3" i="53"/>
  <c r="N7" i="54"/>
  <c r="X19" i="53"/>
  <c r="M4" i="54"/>
  <c r="S12" i="54"/>
  <c r="V13" i="54"/>
  <c r="M13" i="54"/>
  <c r="P10" i="54"/>
  <c r="G7" i="54"/>
  <c r="D4" i="54"/>
  <c r="O15" i="53"/>
  <c r="X8" i="53"/>
  <c r="H8" i="53"/>
  <c r="E5" i="53"/>
  <c r="C3" i="53"/>
  <c r="V19" i="53"/>
  <c r="O10" i="53"/>
  <c r="W19" i="53"/>
  <c r="Z24" i="54"/>
  <c r="L10" i="54"/>
  <c r="U19" i="53"/>
  <c r="L10" i="53"/>
  <c r="Z20" i="54"/>
  <c r="Q10" i="54"/>
  <c r="U12" i="54"/>
  <c r="W15" i="53"/>
  <c r="Y19" i="53"/>
  <c r="U7" i="54"/>
  <c r="H7" i="54"/>
  <c r="K10" i="53"/>
  <c r="P3" i="53"/>
  <c r="M10" i="54"/>
  <c r="Q3" i="53"/>
  <c r="L4" i="54"/>
  <c r="O8" i="53"/>
  <c r="Q13" i="54"/>
  <c r="Y24" i="54"/>
  <c r="W12" i="54"/>
  <c r="R6" i="37"/>
  <c r="R18" i="37"/>
  <c r="AJ18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<sst xmlns="http://schemas.openxmlformats.org/spreadsheetml/2006/main" count="309" uniqueCount="137">
  <si>
    <t>PSF</t>
  </si>
  <si>
    <t>BSF</t>
  </si>
  <si>
    <t>d</t>
  </si>
  <si>
    <r>
      <t xml:space="preserve">d </t>
    </r>
    <r>
      <rPr>
        <sz val="10"/>
        <rFont val="Arial"/>
        <family val="2"/>
      </rPr>
      <t>(cm)</t>
    </r>
  </si>
  <si>
    <t>Cobalt-60     SAD = 80 cm</t>
  </si>
  <si>
    <t>Cobalt-60</t>
  </si>
  <si>
    <t>Cobalt-60    SAD = 80 cm</t>
  </si>
  <si>
    <t>250 kVp x-rays, HVL=3.0 mm Cu</t>
  </si>
  <si>
    <t>Collimator Setting (cm) (Field Size at 80 cm)</t>
  </si>
  <si>
    <t>X =</t>
  </si>
  <si>
    <t>collimator (cm)</t>
  </si>
  <si>
    <t>Y =</t>
  </si>
  <si>
    <t>6 MV x-rays</t>
  </si>
  <si>
    <t>6 MV x-rays    SAD = 100 cm</t>
  </si>
  <si>
    <t>18 MV x-rays</t>
  </si>
  <si>
    <t>HF</t>
  </si>
  <si>
    <t>X</t>
  </si>
  <si>
    <t>RDF</t>
  </si>
  <si>
    <t>Interpolate</t>
  </si>
  <si>
    <t>TMR</t>
  </si>
  <si>
    <t>10 MV x-rays</t>
  </si>
  <si>
    <t>10 MV x-rays    SAD = 100 cm</t>
  </si>
  <si>
    <t>18 MV x-rays    SAD = 100 cm</t>
  </si>
  <si>
    <t>(British Institute of Radiology, 1996)</t>
  </si>
  <si>
    <t>PDD</t>
  </si>
  <si>
    <t>Y</t>
  </si>
  <si>
    <t>®</t>
  </si>
  <si>
    <t>alter violet cells only</t>
  </si>
  <si>
    <t>side (cm)</t>
  </si>
  <si>
    <t>side 1</t>
  </si>
  <si>
    <t>side 2</t>
  </si>
  <si>
    <t>100 kVp x-rays, HVL=2.0 mm Al</t>
  </si>
  <si>
    <t>15 MV x-rays    SSD = 100 cm</t>
  </si>
  <si>
    <t>15 MV x-rays    SAD = 100 cm</t>
  </si>
  <si>
    <r>
      <rPr>
        <b/>
        <i/>
        <sz val="10"/>
        <rFont val="Arial"/>
        <family val="2"/>
      </rPr>
      <t>r</t>
    </r>
  </si>
  <si>
    <t>R</t>
  </si>
  <si>
    <r>
      <t xml:space="preserve">r </t>
    </r>
    <r>
      <rPr>
        <b/>
        <sz val="11"/>
        <color indexed="9"/>
        <rFont val="Arial"/>
        <family val="2"/>
      </rPr>
      <t>(cm)</t>
    </r>
  </si>
  <si>
    <r>
      <t>r</t>
    </r>
    <r>
      <rPr>
        <b/>
        <i/>
        <vertAlign val="subscript"/>
        <sz val="11"/>
        <color indexed="9"/>
        <rFont val="Arial"/>
        <family val="2"/>
      </rPr>
      <t>d</t>
    </r>
    <r>
      <rPr>
        <b/>
        <sz val="11"/>
        <color indexed="9"/>
        <rFont val="Arial"/>
        <family val="2"/>
      </rPr>
      <t>(cm)</t>
    </r>
  </si>
  <si>
    <r>
      <rPr>
        <b/>
        <i/>
        <sz val="10"/>
        <rFont val="Arial"/>
        <family val="2"/>
      </rPr>
      <t>R</t>
    </r>
  </si>
  <si>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d</t>
    </r>
  </si>
  <si>
    <t>Scatter and Output Factors</t>
  </si>
  <si>
    <r>
      <t>S</t>
    </r>
    <r>
      <rPr>
        <b/>
        <i/>
        <vertAlign val="subscript"/>
        <sz val="10"/>
        <rFont val="Arial"/>
        <family val="2"/>
      </rPr>
      <t>c,p</t>
    </r>
  </si>
  <si>
    <r>
      <t>r</t>
    </r>
    <r>
      <rPr>
        <i/>
        <vertAlign val="subscript"/>
        <sz val="10"/>
        <rFont val="Arial"/>
        <family val="2"/>
      </rPr>
      <t>d</t>
    </r>
    <r>
      <rPr>
        <sz val="10"/>
        <rFont val="Arial"/>
      </rPr>
      <t>=</t>
    </r>
  </si>
  <si>
    <r>
      <t>r</t>
    </r>
    <r>
      <rPr>
        <b/>
        <sz val="11"/>
        <color indexed="9"/>
        <rFont val="Arial"/>
        <family val="2"/>
      </rPr>
      <t>(cm)</t>
    </r>
  </si>
  <si>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c</t>
    </r>
  </si>
  <si>
    <r>
      <t>S</t>
    </r>
    <r>
      <rPr>
        <b/>
        <i/>
        <vertAlign val="subscript"/>
        <sz val="10"/>
        <rFont val="Arial"/>
        <family val="2"/>
      </rPr>
      <t>p</t>
    </r>
  </si>
  <si>
    <r>
      <t>S</t>
    </r>
    <r>
      <rPr>
        <b/>
        <i/>
        <vertAlign val="subscript"/>
        <sz val="11"/>
        <rFont val="Arial"/>
        <family val="2"/>
      </rPr>
      <t>p</t>
    </r>
    <r>
      <rPr>
        <b/>
        <i/>
        <sz val="11"/>
        <rFont val="Arial"/>
        <family val="2"/>
      </rPr>
      <t xml:space="preserve"> </t>
    </r>
    <r>
      <rPr>
        <b/>
        <sz val="11"/>
        <rFont val="Arial"/>
        <family val="2"/>
      </rPr>
      <t>(6-18 MV)</t>
    </r>
  </si>
  <si>
    <r>
      <t>r</t>
    </r>
    <r>
      <rPr>
        <b/>
        <i/>
        <vertAlign val="subscript"/>
        <sz val="10"/>
        <rFont val="Arial"/>
        <family val="2"/>
      </rPr>
      <t>d</t>
    </r>
  </si>
  <si>
    <t>Interpolate 6 MV</t>
  </si>
  <si>
    <t>Interpolate 10 MV</t>
  </si>
  <si>
    <t>Interpolate 15 MV</t>
  </si>
  <si>
    <t>Interpolate 18 MV</t>
  </si>
  <si>
    <r>
      <t xml:space="preserve">Interpolate </t>
    </r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p</t>
    </r>
  </si>
  <si>
    <t>Percent Depth Dose</t>
  </si>
  <si>
    <r>
      <t xml:space="preserve">R </t>
    </r>
    <r>
      <rPr>
        <b/>
        <sz val="10"/>
        <color indexed="9"/>
        <rFont val="Arial"/>
        <family val="2"/>
      </rPr>
      <t>(cm)</t>
    </r>
  </si>
  <si>
    <r>
      <t>S</t>
    </r>
    <r>
      <rPr>
        <b/>
        <i/>
        <vertAlign val="subscript"/>
        <sz val="10"/>
        <rFont val="Arial"/>
        <family val="2"/>
      </rPr>
      <t>c</t>
    </r>
  </si>
  <si>
    <r>
      <t>4</t>
    </r>
    <r>
      <rPr>
        <b/>
        <sz val="10"/>
        <color rgb="FFFFFFFF"/>
        <rFont val="Symbol"/>
        <family val="1"/>
        <charset val="2"/>
      </rPr>
      <t>´</t>
    </r>
    <r>
      <rPr>
        <b/>
        <sz val="10"/>
        <color indexed="9"/>
        <rFont val="Arial"/>
        <family val="2"/>
      </rPr>
      <t>4</t>
    </r>
  </si>
  <si>
    <r>
      <t>6</t>
    </r>
    <r>
      <rPr>
        <b/>
        <sz val="10"/>
        <color rgb="FFFFFFFF"/>
        <rFont val="Symbol"/>
        <family val="1"/>
        <charset val="2"/>
      </rPr>
      <t>´</t>
    </r>
    <r>
      <rPr>
        <b/>
        <sz val="10"/>
        <color indexed="9"/>
        <rFont val="Arial"/>
        <family val="2"/>
      </rPr>
      <t>6</t>
    </r>
  </si>
  <si>
    <r>
      <t>8</t>
    </r>
    <r>
      <rPr>
        <b/>
        <sz val="10"/>
        <color rgb="FFFFFFFF"/>
        <rFont val="Symbol"/>
        <family val="1"/>
        <charset val="2"/>
      </rPr>
      <t>´</t>
    </r>
    <r>
      <rPr>
        <b/>
        <sz val="10"/>
        <color indexed="9"/>
        <rFont val="Arial"/>
        <family val="2"/>
      </rPr>
      <t>8</t>
    </r>
  </si>
  <si>
    <r>
      <t>10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10</t>
    </r>
  </si>
  <si>
    <r>
      <t>15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15</t>
    </r>
  </si>
  <si>
    <r>
      <t>20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20</t>
    </r>
  </si>
  <si>
    <r>
      <t>25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25</t>
    </r>
  </si>
  <si>
    <r>
      <t>30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30</t>
    </r>
  </si>
  <si>
    <r>
      <t>35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35</t>
    </r>
  </si>
  <si>
    <t>Open field PDD and TMR data for all beam energies are based on BJR Supplement 25</t>
  </si>
  <si>
    <t>Machine output</t>
  </si>
  <si>
    <r>
      <t>D'</t>
    </r>
    <r>
      <rPr>
        <b/>
        <vertAlign val="subscript"/>
        <sz val="11"/>
        <rFont val="Arial"/>
        <family val="2"/>
      </rPr>
      <t xml:space="preserve">0(SSD)  </t>
    </r>
    <r>
      <rPr>
        <b/>
        <sz val="11"/>
        <rFont val="Arial"/>
        <family val="2"/>
      </rPr>
      <t>=</t>
    </r>
  </si>
  <si>
    <t>cGy /min</t>
  </si>
  <si>
    <t>no shutter error</t>
  </si>
  <si>
    <t>original outputs</t>
  </si>
  <si>
    <t>normalized</t>
  </si>
  <si>
    <t>Phantom Scatter Factors</t>
  </si>
  <si>
    <r>
      <t>(</t>
    </r>
    <r>
      <rPr>
        <i/>
        <sz val="10"/>
        <rFont val="Arial"/>
        <family val="2"/>
      </rPr>
      <t>S</t>
    </r>
    <r>
      <rPr>
        <i/>
        <vertAlign val="subscript"/>
        <sz val="10"/>
        <rFont val="Arial"/>
        <family val="2"/>
      </rPr>
      <t>c,p</t>
    </r>
    <r>
      <rPr>
        <sz val="10"/>
        <rFont val="Arial"/>
        <family val="2"/>
      </rPr>
      <t>)</t>
    </r>
  </si>
  <si>
    <r>
      <t>S</t>
    </r>
    <r>
      <rPr>
        <i/>
        <vertAlign val="subscript"/>
        <sz val="10"/>
        <rFont val="Arial"/>
        <family val="2"/>
      </rPr>
      <t>c</t>
    </r>
  </si>
  <si>
    <r>
      <rPr>
        <i/>
        <sz val="10"/>
        <rFont val="Arial"/>
        <family val="2"/>
      </rPr>
      <t>S</t>
    </r>
    <r>
      <rPr>
        <i/>
        <vertAlign val="subscript"/>
        <sz val="10"/>
        <rFont val="Arial"/>
        <family val="2"/>
      </rPr>
      <t>c,p</t>
    </r>
    <r>
      <rPr>
        <sz val="10"/>
        <rFont val="Arial"/>
        <family val="2"/>
      </rPr>
      <t>* D'</t>
    </r>
  </si>
  <si>
    <t>100 kVp BSF are based on AAPM TG-61 data</t>
  </si>
  <si>
    <r>
      <rPr>
        <b/>
        <i/>
        <sz val="11"/>
        <rFont val="Arial"/>
        <family val="2"/>
      </rPr>
      <t xml:space="preserve"> r</t>
    </r>
    <r>
      <rPr>
        <b/>
        <i/>
        <vertAlign val="subscript"/>
        <sz val="11"/>
        <rFont val="Arial"/>
        <family val="2"/>
      </rPr>
      <t>c</t>
    </r>
    <r>
      <rPr>
        <b/>
        <vertAlign val="subscript"/>
        <sz val="9"/>
        <rFont val="Arial"/>
        <family val="2"/>
      </rPr>
      <t>0</t>
    </r>
    <r>
      <rPr>
        <b/>
        <sz val="11"/>
        <rFont val="Arial"/>
        <family val="2"/>
      </rPr>
      <t xml:space="preserve"> =  10 cm </t>
    </r>
    <r>
      <rPr>
        <b/>
        <sz val="11"/>
        <rFont val="Symbol"/>
        <family val="1"/>
        <charset val="2"/>
      </rPr>
      <t>´</t>
    </r>
    <r>
      <rPr>
        <b/>
        <sz val="11"/>
        <rFont val="Arial"/>
        <family val="2"/>
      </rPr>
      <t xml:space="preserve"> 10 cm square</t>
    </r>
  </si>
  <si>
    <t>r</t>
  </si>
  <si>
    <r>
      <rPr>
        <b/>
        <i/>
        <sz val="11"/>
        <rFont val="Arial"/>
        <family val="2"/>
      </rPr>
      <t xml:space="preserve"> R</t>
    </r>
    <r>
      <rPr>
        <b/>
        <i/>
        <vertAlign val="subscript"/>
        <sz val="11"/>
        <rFont val="Arial"/>
        <family val="2"/>
      </rPr>
      <t>c</t>
    </r>
    <r>
      <rPr>
        <b/>
        <vertAlign val="subscript"/>
        <sz val="9"/>
        <rFont val="Arial"/>
        <family val="2"/>
      </rPr>
      <t>0</t>
    </r>
    <r>
      <rPr>
        <b/>
        <sz val="11"/>
        <rFont val="Arial"/>
        <family val="2"/>
      </rPr>
      <t xml:space="preserve"> =  5 cm (10 cm dia.) </t>
    </r>
  </si>
  <si>
    <t>(alter violet cells only)</t>
  </si>
  <si>
    <r>
      <t>BSF(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>)</t>
    </r>
  </si>
  <si>
    <r>
      <t>S</t>
    </r>
    <r>
      <rPr>
        <b/>
        <i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>)</t>
    </r>
  </si>
  <si>
    <r>
      <t>S</t>
    </r>
    <r>
      <rPr>
        <b/>
        <i/>
        <vertAlign val="subscript"/>
        <sz val="10"/>
        <rFont val="Arial"/>
        <family val="2"/>
      </rPr>
      <t>c,p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>,</t>
    </r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>)</t>
    </r>
  </si>
  <si>
    <t>5.0 ×</t>
  </si>
  <si>
    <t>6.0 ×</t>
  </si>
  <si>
    <t>8.0 ×</t>
  </si>
  <si>
    <t>10.0 ×</t>
  </si>
  <si>
    <t>15.0 ×</t>
  </si>
  <si>
    <r>
      <t xml:space="preserve">4.0 </t>
    </r>
    <r>
      <rPr>
        <b/>
        <sz val="10"/>
        <rFont val="Calibri"/>
        <family val="2"/>
      </rPr>
      <t>×</t>
    </r>
  </si>
  <si>
    <r>
      <rPr>
        <b/>
        <i/>
        <sz val="10"/>
        <color theme="0"/>
        <rFont val="Arial"/>
        <family val="2"/>
      </rPr>
      <t>r</t>
    </r>
    <r>
      <rPr>
        <b/>
        <i/>
        <vertAlign val="subscript"/>
        <sz val="10"/>
        <color theme="0"/>
        <rFont val="Arial"/>
        <family val="2"/>
      </rPr>
      <t>c</t>
    </r>
    <r>
      <rPr>
        <b/>
        <sz val="10"/>
        <color theme="0"/>
        <rFont val="Arial"/>
        <family val="2"/>
      </rPr>
      <t xml:space="preserve"> (cm)</t>
    </r>
  </si>
  <si>
    <r>
      <rPr>
        <b/>
        <i/>
        <sz val="11"/>
        <color theme="0"/>
        <rFont val="Arial"/>
        <family val="2"/>
      </rPr>
      <t>r</t>
    </r>
    <r>
      <rPr>
        <b/>
        <sz val="11"/>
        <color theme="0"/>
        <rFont val="Arial"/>
        <family val="2"/>
      </rPr>
      <t xml:space="preserve"> (cm)</t>
    </r>
  </si>
  <si>
    <r>
      <t>S</t>
    </r>
    <r>
      <rPr>
        <b/>
        <i/>
        <vertAlign val="subscript"/>
        <sz val="10"/>
        <rFont val="Arial"/>
        <family val="2"/>
      </rPr>
      <t>c,p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>,</t>
    </r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>)</t>
    </r>
  </si>
  <si>
    <r>
      <t xml:space="preserve">d </t>
    </r>
    <r>
      <rPr>
        <b/>
        <sz val="10"/>
        <rFont val="Arial"/>
        <family val="2"/>
      </rPr>
      <t>(cm)</t>
    </r>
  </si>
  <si>
    <t>250 kVp BSF are based on AAPM TG-61 data</t>
  </si>
  <si>
    <r>
      <t>SSD</t>
    </r>
    <r>
      <rPr>
        <b/>
        <vertAlign val="subscript"/>
        <sz val="10"/>
        <rFont val="Arial"/>
        <family val="2"/>
      </rPr>
      <t>0</t>
    </r>
    <r>
      <rPr>
        <b/>
        <sz val="10"/>
        <rFont val="Arial"/>
        <family val="2"/>
      </rPr>
      <t>=10 cm</t>
    </r>
  </si>
  <si>
    <r>
      <t>SSD</t>
    </r>
    <r>
      <rPr>
        <b/>
        <vertAlign val="subscript"/>
        <sz val="10"/>
        <rFont val="Arial"/>
        <family val="2"/>
      </rPr>
      <t>0</t>
    </r>
    <r>
      <rPr>
        <b/>
        <sz val="10"/>
        <rFont val="Arial"/>
        <family val="2"/>
      </rPr>
      <t>=30 cm</t>
    </r>
  </si>
  <si>
    <r>
      <t>R</t>
    </r>
    <r>
      <rPr>
        <b/>
        <i/>
        <vertAlign val="subscript"/>
        <sz val="10"/>
        <color rgb="FFFFFFFF"/>
        <rFont val="Arial"/>
        <family val="2"/>
      </rPr>
      <t>c</t>
    </r>
    <r>
      <rPr>
        <b/>
        <i/>
        <sz val="10"/>
        <color indexed="9"/>
        <rFont val="Arial"/>
        <family val="2"/>
      </rPr>
      <t xml:space="preserve"> </t>
    </r>
    <r>
      <rPr>
        <b/>
        <sz val="10"/>
        <color indexed="9"/>
        <rFont val="Arial"/>
        <family val="2"/>
      </rPr>
      <t>(cm)</t>
    </r>
  </si>
  <si>
    <r>
      <t xml:space="preserve">Applicators:  </t>
    </r>
    <r>
      <rPr>
        <b/>
        <i/>
        <sz val="12"/>
        <rFont val="Arial"/>
        <family val="2"/>
      </rPr>
      <t>S</t>
    </r>
    <r>
      <rPr>
        <b/>
        <i/>
        <vertAlign val="subscript"/>
        <sz val="12"/>
        <rFont val="Arial"/>
        <family val="2"/>
      </rPr>
      <t>c,p</t>
    </r>
    <r>
      <rPr>
        <i/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 xml:space="preserve">(where </t>
    </r>
    <r>
      <rPr>
        <i/>
        <sz val="12"/>
        <rFont val="Arial"/>
        <family val="2"/>
      </rPr>
      <t>R = R</t>
    </r>
    <r>
      <rPr>
        <i/>
        <vertAlign val="subscript"/>
        <sz val="12"/>
        <rFont val="Arial"/>
        <family val="2"/>
      </rPr>
      <t xml:space="preserve">c </t>
    </r>
    <r>
      <rPr>
        <sz val="12"/>
        <rFont val="Arial"/>
        <family val="2"/>
      </rPr>
      <t>)</t>
    </r>
  </si>
  <si>
    <r>
      <rPr>
        <b/>
        <i/>
        <sz val="10"/>
        <color rgb="FFFFFFFF"/>
        <rFont val="Arial"/>
        <family val="2"/>
      </rPr>
      <t>R</t>
    </r>
    <r>
      <rPr>
        <b/>
        <i/>
        <vertAlign val="subscript"/>
        <sz val="10"/>
        <color rgb="FFFFFFFF"/>
        <rFont val="Arial"/>
        <family val="2"/>
      </rPr>
      <t>c</t>
    </r>
    <r>
      <rPr>
        <b/>
        <sz val="10"/>
        <color indexed="9"/>
        <rFont val="Arial"/>
        <family val="2"/>
      </rPr>
      <t xml:space="preserve"> (cm)</t>
    </r>
  </si>
  <si>
    <r>
      <t xml:space="preserve">Applicators:  </t>
    </r>
    <r>
      <rPr>
        <b/>
        <i/>
        <sz val="12"/>
        <rFont val="Arial"/>
        <family val="2"/>
      </rPr>
      <t>S</t>
    </r>
    <r>
      <rPr>
        <b/>
        <i/>
        <vertAlign val="subscript"/>
        <sz val="12"/>
        <rFont val="Arial"/>
        <family val="2"/>
      </rPr>
      <t>c,p</t>
    </r>
  </si>
  <si>
    <r>
      <t xml:space="preserve">   Percent Depth Dose     SSD</t>
    </r>
    <r>
      <rPr>
        <b/>
        <vertAlign val="subscript"/>
        <sz val="12"/>
        <rFont val="Arial"/>
        <family val="2"/>
      </rPr>
      <t>0</t>
    </r>
    <r>
      <rPr>
        <b/>
        <sz val="12"/>
        <rFont val="Arial"/>
        <family val="2"/>
      </rPr>
      <t xml:space="preserve"> = 50 cm</t>
    </r>
  </si>
  <si>
    <t>all available applicators are listed</t>
  </si>
  <si>
    <r>
      <t>Applicator Set #2: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30 cm</t>
    </r>
  </si>
  <si>
    <r>
      <t>Applicator Set #1: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 cm</t>
    </r>
  </si>
  <si>
    <r>
      <t>Y</t>
    </r>
    <r>
      <rPr>
        <b/>
        <vertAlign val="subscript"/>
        <sz val="10"/>
        <color rgb="FFFFFFFF"/>
        <rFont val="Arial"/>
        <family val="2"/>
      </rPr>
      <t>c</t>
    </r>
    <r>
      <rPr>
        <b/>
        <sz val="10"/>
        <color indexed="9"/>
        <rFont val="Arial"/>
        <family val="2"/>
      </rPr>
      <t xml:space="preserve"> =</t>
    </r>
  </si>
  <si>
    <r>
      <t>X</t>
    </r>
    <r>
      <rPr>
        <b/>
        <vertAlign val="subscript"/>
        <sz val="10"/>
        <color rgb="FFFFFFFF"/>
        <rFont val="Arial"/>
        <family val="2"/>
      </rPr>
      <t>c</t>
    </r>
    <r>
      <rPr>
        <b/>
        <sz val="10"/>
        <color indexed="9"/>
        <rFont val="Arial"/>
        <family val="2"/>
      </rPr>
      <t xml:space="preserve"> =</t>
    </r>
  </si>
  <si>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p</t>
    </r>
    <r>
      <rPr>
        <b/>
        <sz val="12"/>
        <color rgb="FF003366"/>
        <rFont val="Arial"/>
        <family val="2"/>
      </rPr>
      <t xml:space="preserve"> for all energies</t>
    </r>
  </si>
  <si>
    <r>
      <t xml:space="preserve">6 MV  </t>
    </r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</t>
    </r>
    <r>
      <rPr>
        <b/>
        <vertAlign val="subscript"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 xml:space="preserve">        SAD=100cm          </t>
    </r>
    <r>
      <rPr>
        <b/>
        <i/>
        <sz val="12"/>
        <color rgb="FF003366"/>
        <rFont val="Arial"/>
        <family val="2"/>
      </rPr>
      <t>D'</t>
    </r>
    <r>
      <rPr>
        <b/>
        <vertAlign val="subscript"/>
        <sz val="12"/>
        <color rgb="FF003366"/>
        <rFont val="Arial"/>
        <family val="2"/>
      </rPr>
      <t>0(</t>
    </r>
    <r>
      <rPr>
        <b/>
        <i/>
        <vertAlign val="subscript"/>
        <sz val="12"/>
        <color rgb="FF003366"/>
        <rFont val="Arial"/>
        <family val="2"/>
      </rPr>
      <t>iso</t>
    </r>
    <r>
      <rPr>
        <b/>
        <vertAlign val="subscript"/>
        <sz val="12"/>
        <color rgb="FF003366"/>
        <rFont val="Arial"/>
        <family val="2"/>
      </rPr>
      <t>)</t>
    </r>
    <r>
      <rPr>
        <b/>
        <sz val="12"/>
        <color rgb="FF003366"/>
        <rFont val="Arial"/>
        <family val="2"/>
      </rPr>
      <t>=1.000 cGy/MU</t>
    </r>
  </si>
  <si>
    <r>
      <t xml:space="preserve">10 MV  </t>
    </r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</t>
    </r>
    <r>
      <rPr>
        <b/>
        <sz val="12"/>
        <color rgb="FF003366"/>
        <rFont val="Arial"/>
        <family val="2"/>
      </rPr>
      <t xml:space="preserve">         SAD=100cm          </t>
    </r>
    <r>
      <rPr>
        <b/>
        <i/>
        <sz val="12"/>
        <color rgb="FF003366"/>
        <rFont val="Arial"/>
        <family val="2"/>
      </rPr>
      <t>D'</t>
    </r>
    <r>
      <rPr>
        <b/>
        <vertAlign val="subscript"/>
        <sz val="12"/>
        <color rgb="FF003366"/>
        <rFont val="Arial"/>
        <family val="2"/>
      </rPr>
      <t>0(</t>
    </r>
    <r>
      <rPr>
        <b/>
        <i/>
        <vertAlign val="subscript"/>
        <sz val="12"/>
        <color rgb="FF003366"/>
        <rFont val="Arial"/>
        <family val="2"/>
      </rPr>
      <t>iso</t>
    </r>
    <r>
      <rPr>
        <b/>
        <vertAlign val="subscript"/>
        <sz val="12"/>
        <color rgb="FF003366"/>
        <rFont val="Arial"/>
        <family val="2"/>
      </rPr>
      <t>)</t>
    </r>
    <r>
      <rPr>
        <b/>
        <sz val="12"/>
        <color rgb="FF003366"/>
        <rFont val="Arial"/>
        <family val="2"/>
      </rPr>
      <t>=1.000 cGy/MU</t>
    </r>
  </si>
  <si>
    <r>
      <t xml:space="preserve">15 MV </t>
    </r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</t>
    </r>
    <r>
      <rPr>
        <b/>
        <sz val="12"/>
        <color rgb="FF003366"/>
        <rFont val="Arial"/>
        <family val="2"/>
      </rPr>
      <t xml:space="preserve">         SAD=100cm          </t>
    </r>
    <r>
      <rPr>
        <b/>
        <i/>
        <sz val="12"/>
        <color rgb="FF003366"/>
        <rFont val="Arial"/>
        <family val="2"/>
      </rPr>
      <t>D'</t>
    </r>
    <r>
      <rPr>
        <b/>
        <vertAlign val="subscript"/>
        <sz val="12"/>
        <color rgb="FF003366"/>
        <rFont val="Arial"/>
        <family val="2"/>
      </rPr>
      <t>0(</t>
    </r>
    <r>
      <rPr>
        <b/>
        <i/>
        <vertAlign val="subscript"/>
        <sz val="12"/>
        <color rgb="FF003366"/>
        <rFont val="Arial"/>
        <family val="2"/>
      </rPr>
      <t>iso</t>
    </r>
    <r>
      <rPr>
        <b/>
        <vertAlign val="subscript"/>
        <sz val="12"/>
        <color rgb="FF003366"/>
        <rFont val="Arial"/>
        <family val="2"/>
      </rPr>
      <t>)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>1.000 cGy/MU</t>
    </r>
  </si>
  <si>
    <r>
      <t xml:space="preserve">18 MV </t>
    </r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</t>
    </r>
    <r>
      <rPr>
        <b/>
        <sz val="12"/>
        <color rgb="FF003366"/>
        <rFont val="Arial"/>
        <family val="2"/>
      </rPr>
      <t xml:space="preserve">         SAD=100cm          </t>
    </r>
    <r>
      <rPr>
        <b/>
        <i/>
        <sz val="12"/>
        <color rgb="FF003366"/>
        <rFont val="Arial"/>
        <family val="2"/>
      </rPr>
      <t>D'</t>
    </r>
    <r>
      <rPr>
        <b/>
        <vertAlign val="subscript"/>
        <sz val="12"/>
        <color rgb="FF003366"/>
        <rFont val="Arial"/>
        <family val="2"/>
      </rPr>
      <t>0(</t>
    </r>
    <r>
      <rPr>
        <b/>
        <i/>
        <vertAlign val="subscript"/>
        <sz val="12"/>
        <color rgb="FF003366"/>
        <rFont val="Arial"/>
        <family val="2"/>
      </rPr>
      <t>iso</t>
    </r>
    <r>
      <rPr>
        <b/>
        <vertAlign val="subscript"/>
        <sz val="12"/>
        <color rgb="FF003366"/>
        <rFont val="Arial"/>
        <family val="2"/>
      </rPr>
      <t>)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>1.000 cGy/MU</t>
    </r>
  </si>
  <si>
    <r>
      <t>X</t>
    </r>
    <r>
      <rPr>
        <b/>
        <vertAlign val="subscript"/>
        <sz val="10"/>
        <rFont val="Arial"/>
        <family val="2"/>
      </rPr>
      <t>c</t>
    </r>
  </si>
  <si>
    <r>
      <t>Y</t>
    </r>
    <r>
      <rPr>
        <b/>
        <vertAlign val="subscript"/>
        <sz val="10"/>
        <rFont val="Arial"/>
        <family val="2"/>
      </rPr>
      <t>c</t>
    </r>
  </si>
  <si>
    <r>
      <t xml:space="preserve">Linac </t>
    </r>
    <r>
      <rPr>
        <b/>
        <i/>
        <sz val="16"/>
        <color indexed="10"/>
        <rFont val="Arial"/>
        <family val="2"/>
      </rPr>
      <t>S</t>
    </r>
    <r>
      <rPr>
        <b/>
        <i/>
        <vertAlign val="subscript"/>
        <sz val="16"/>
        <color indexed="10"/>
        <rFont val="Arial"/>
        <family val="2"/>
      </rPr>
      <t xml:space="preserve">c </t>
    </r>
    <r>
      <rPr>
        <b/>
        <i/>
        <sz val="16"/>
        <color indexed="10"/>
        <rFont val="Arial"/>
        <family val="2"/>
      </rPr>
      <t>, S</t>
    </r>
    <r>
      <rPr>
        <b/>
        <i/>
        <vertAlign val="subscript"/>
        <sz val="16"/>
        <color indexed="10"/>
        <rFont val="Arial"/>
        <family val="2"/>
      </rPr>
      <t>p</t>
    </r>
    <r>
      <rPr>
        <b/>
        <i/>
        <sz val="16"/>
        <color indexed="10"/>
        <rFont val="Arial"/>
        <family val="2"/>
      </rPr>
      <t xml:space="preserve"> </t>
    </r>
    <r>
      <rPr>
        <b/>
        <sz val="16"/>
        <color indexed="10"/>
        <rFont val="Arial"/>
        <family val="2"/>
      </rPr>
      <t xml:space="preserve">and Absolute Dose Rates   for normalization depth = </t>
    </r>
    <r>
      <rPr>
        <b/>
        <i/>
        <sz val="16"/>
        <color indexed="10"/>
        <rFont val="Arial"/>
        <family val="2"/>
      </rPr>
      <t>d</t>
    </r>
    <r>
      <rPr>
        <b/>
        <i/>
        <vertAlign val="subscript"/>
        <sz val="16"/>
        <color indexed="10"/>
        <rFont val="Arial"/>
        <family val="2"/>
      </rPr>
      <t>m</t>
    </r>
  </si>
  <si>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c,p</t>
    </r>
    <r>
      <rPr>
        <b/>
        <sz val="12"/>
        <color rgb="FF003366"/>
        <rFont val="Arial"/>
        <family val="2"/>
      </rPr>
      <t xml:space="preserve"> for Rectangular Fields</t>
    </r>
  </si>
  <si>
    <r>
      <t>Circular Applicators  (</t>
    </r>
    <r>
      <rPr>
        <b/>
        <i/>
        <sz val="14"/>
        <color rgb="FF7030A0"/>
        <rFont val="Arial"/>
        <family val="2"/>
      </rPr>
      <t>R</t>
    </r>
    <r>
      <rPr>
        <b/>
        <sz val="14"/>
        <color rgb="FF7030A0"/>
        <rFont val="Arial"/>
        <family val="2"/>
      </rPr>
      <t>=equivalent radius)</t>
    </r>
  </si>
  <si>
    <r>
      <t>Equivalent Radii (</t>
    </r>
    <r>
      <rPr>
        <b/>
        <i/>
        <sz val="16"/>
        <color indexed="10"/>
        <rFont val="Arial"/>
        <family val="2"/>
      </rPr>
      <t>R or R</t>
    </r>
    <r>
      <rPr>
        <b/>
        <i/>
        <vertAlign val="subscript"/>
        <sz val="16"/>
        <color indexed="10"/>
        <rFont val="Arial"/>
        <family val="2"/>
      </rPr>
      <t>d</t>
    </r>
    <r>
      <rPr>
        <b/>
        <sz val="16"/>
        <color indexed="10"/>
        <rFont val="Arial"/>
        <family val="2"/>
      </rPr>
      <t>) of Rectangular Fields</t>
    </r>
  </si>
  <si>
    <r>
      <t>Equivalent Squares (</t>
    </r>
    <r>
      <rPr>
        <b/>
        <i/>
        <sz val="16"/>
        <color indexed="10"/>
        <rFont val="Arial"/>
        <family val="2"/>
      </rPr>
      <t>r</t>
    </r>
    <r>
      <rPr>
        <b/>
        <sz val="16"/>
        <color indexed="10"/>
        <rFont val="Arial"/>
        <family val="2"/>
      </rPr>
      <t xml:space="preserve"> or </t>
    </r>
    <r>
      <rPr>
        <b/>
        <i/>
        <sz val="16"/>
        <color indexed="10"/>
        <rFont val="Arial"/>
        <family val="2"/>
      </rPr>
      <t>r</t>
    </r>
    <r>
      <rPr>
        <b/>
        <i/>
        <vertAlign val="subscript"/>
        <sz val="16"/>
        <color indexed="10"/>
        <rFont val="Arial"/>
        <family val="2"/>
      </rPr>
      <t>d</t>
    </r>
    <r>
      <rPr>
        <b/>
        <sz val="16"/>
        <color indexed="10"/>
        <rFont val="Arial"/>
        <family val="2"/>
      </rPr>
      <t>) of Rectangular Fields</t>
    </r>
  </si>
  <si>
    <r>
      <t xml:space="preserve">Fixed Applicators, so </t>
    </r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c,p</t>
    </r>
    <r>
      <rPr>
        <b/>
        <sz val="10"/>
        <rFont val="Arial"/>
        <family val="2"/>
      </rPr>
      <t xml:space="preserve"> cannot be interpolated</t>
    </r>
  </si>
  <si>
    <t xml:space="preserve">Circular Applicators </t>
  </si>
  <si>
    <t>(R = equivalent radius)</t>
  </si>
  <si>
    <t>Rectangular Applicators</t>
  </si>
  <si>
    <t xml:space="preserve">  (r = equivalent square)</t>
  </si>
  <si>
    <r>
      <t>Applicator Set #1:  SSD</t>
    </r>
    <r>
      <rPr>
        <b/>
        <vertAlign val="subscript"/>
        <sz val="14"/>
        <color rgb="FF003366"/>
        <rFont val="Arial"/>
        <family val="2"/>
      </rPr>
      <t>0</t>
    </r>
    <r>
      <rPr>
        <b/>
        <sz val="14"/>
        <color rgb="FF003366"/>
        <rFont val="Arial"/>
        <family val="2"/>
      </rPr>
      <t xml:space="preserve"> = 50 cm</t>
    </r>
  </si>
  <si>
    <r>
      <t>Applicator Set #2:  SSD</t>
    </r>
    <r>
      <rPr>
        <b/>
        <vertAlign val="subscript"/>
        <sz val="14"/>
        <color rgb="FF003366"/>
        <rFont val="Arial"/>
        <family val="2"/>
      </rPr>
      <t>0</t>
    </r>
    <r>
      <rPr>
        <b/>
        <sz val="14"/>
        <color rgb="FF003366"/>
        <rFont val="Arial"/>
        <family val="2"/>
      </rPr>
      <t xml:space="preserve"> = 50 cm</t>
    </r>
  </si>
  <si>
    <r>
      <t>d</t>
    </r>
    <r>
      <rPr>
        <b/>
        <vertAlign val="subscript"/>
        <sz val="12"/>
        <color rgb="FF003366"/>
        <rFont val="Arial"/>
        <family val="2"/>
      </rPr>
      <t xml:space="preserve">0 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0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cm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</si>
  <si>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0.5 cm)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</si>
  <si>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1.5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100 cm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</si>
  <si>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0.5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80 cm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</si>
  <si>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2.3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100 cm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</si>
  <si>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2.9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100 cm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</si>
  <si>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3.2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100 cm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</si>
  <si>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1.5 cm)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</si>
  <si>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2.3 cm)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</si>
  <si>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2.9 cm)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</si>
  <si>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3.2 cm)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</si>
</sst>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97" x14ac:knownFonts="1">
    <font>
      <sz val="10"/>
      <name val="Arial"/>
    </font>
    <font>
      <sz val="10"/>
      <name val="Arial"/>
    </font>
    <font>
      <sz val="10"/>
      <name val="Univers Condensed"/>
    </font>
    <font>
      <b/>
      <sz val="10"/>
      <name val="Univers Condensed"/>
    </font>
    <font>
      <sz val="10"/>
      <name val="Arial"/>
      <family val="2"/>
    </font>
    <font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i/>
      <sz val="10"/>
      <name val="Univers Condensed"/>
    </font>
    <font>
      <b/>
      <i/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sz val="11"/>
      <color indexed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2"/>
      <color indexed="8"/>
      <name val="Univers Condensed"/>
    </font>
    <font>
      <sz val="10"/>
      <color indexed="8"/>
      <name val="Arial"/>
      <family val="2"/>
    </font>
    <font>
      <b/>
      <i/>
      <sz val="11"/>
      <color indexed="9"/>
      <name val="Arial"/>
      <family val="2"/>
    </font>
    <font>
      <b/>
      <i/>
      <vertAlign val="subscript"/>
      <sz val="11"/>
      <color indexed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14"/>
      <color indexed="10"/>
      <name val="Arial"/>
      <family val="2"/>
    </font>
    <font>
      <sz val="14"/>
      <color indexed="10"/>
      <name val="Arial"/>
      <family val="2"/>
    </font>
    <font>
      <sz val="14"/>
      <name val="Arial"/>
      <family val="2"/>
    </font>
    <font>
      <i/>
      <vertAlign val="subscript"/>
      <sz val="10"/>
      <name val="Arial"/>
      <family val="2"/>
    </font>
    <font>
      <b/>
      <i/>
      <sz val="10"/>
      <color indexed="62"/>
      <name val="Arial"/>
      <family val="2"/>
    </font>
    <font>
      <i/>
      <sz val="14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b/>
      <sz val="12"/>
      <name val="Arial"/>
      <family val="2"/>
    </font>
    <font>
      <sz val="12"/>
      <name val="Univers Condensed"/>
    </font>
    <font>
      <b/>
      <i/>
      <sz val="12"/>
      <name val="Univers Condensed"/>
    </font>
    <font>
      <b/>
      <i/>
      <sz val="12"/>
      <name val="Arial"/>
      <family val="2"/>
    </font>
    <font>
      <b/>
      <i/>
      <vertAlign val="subscript"/>
      <sz val="12"/>
      <name val="Arial"/>
      <family val="2"/>
    </font>
    <font>
      <b/>
      <i/>
      <sz val="12"/>
      <color indexed="20"/>
      <name val="Arial"/>
      <family val="2"/>
    </font>
    <font>
      <b/>
      <i/>
      <sz val="11"/>
      <name val="Arial"/>
      <family val="2"/>
    </font>
    <font>
      <b/>
      <i/>
      <vertAlign val="subscript"/>
      <sz val="11"/>
      <name val="Arial"/>
      <family val="2"/>
    </font>
    <font>
      <b/>
      <i/>
      <sz val="10"/>
      <color indexed="9"/>
      <name val="Arial"/>
      <family val="2"/>
    </font>
    <font>
      <b/>
      <sz val="10"/>
      <color rgb="FFFFFFFF"/>
      <name val="Symbol"/>
      <family val="1"/>
      <charset val="2"/>
    </font>
    <font>
      <b/>
      <sz val="10"/>
      <color indexed="9"/>
      <name val="Calibri"/>
      <family val="2"/>
    </font>
    <font>
      <b/>
      <sz val="12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0"/>
      <color indexed="9"/>
      <name val="Arial Narrow"/>
      <family val="2"/>
    </font>
    <font>
      <sz val="10"/>
      <color indexed="43"/>
      <name val="Arial Narrow"/>
      <family val="2"/>
    </font>
    <font>
      <b/>
      <vertAlign val="subscript"/>
      <sz val="11"/>
      <name val="Arial"/>
      <family val="2"/>
    </font>
    <font>
      <b/>
      <vertAlign val="subscript"/>
      <sz val="9"/>
      <name val="Arial"/>
      <family val="2"/>
    </font>
    <font>
      <i/>
      <sz val="11"/>
      <name val="Arial"/>
      <family val="2"/>
    </font>
    <font>
      <b/>
      <i/>
      <vertAlign val="subscript"/>
      <sz val="10"/>
      <color rgb="FFFFFFFF"/>
      <name val="Arial"/>
      <family val="2"/>
    </font>
    <font>
      <b/>
      <sz val="11"/>
      <name val="Symbol"/>
      <family val="1"/>
      <charset val="2"/>
    </font>
    <font>
      <b/>
      <i/>
      <sz val="10"/>
      <color rgb="FFFFFFFF"/>
      <name val="Arial"/>
      <family val="2"/>
    </font>
    <font>
      <b/>
      <i/>
      <sz val="10"/>
      <name val="Univers Condensed"/>
      <family val="2"/>
    </font>
    <font>
      <i/>
      <vertAlign val="subscript"/>
      <sz val="12"/>
      <name val="Arial"/>
      <family val="2"/>
    </font>
    <font>
      <b/>
      <sz val="10"/>
      <name val="Calibri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i/>
      <vertAlign val="subscript"/>
      <sz val="10"/>
      <color theme="0"/>
      <name val="Arial"/>
      <family val="2"/>
    </font>
    <font>
      <b/>
      <sz val="11"/>
      <color theme="0"/>
      <name val="Arial"/>
      <family val="2"/>
    </font>
    <font>
      <b/>
      <i/>
      <sz val="11"/>
      <color theme="0"/>
      <name val="Arial"/>
      <family val="2"/>
    </font>
    <font>
      <b/>
      <sz val="16"/>
      <color indexed="10"/>
      <name val="Arial"/>
      <family val="2"/>
    </font>
    <font>
      <sz val="16"/>
      <color indexed="10"/>
      <name val="Arial"/>
      <family val="2"/>
    </font>
    <font>
      <b/>
      <vertAlign val="subscript"/>
      <sz val="12"/>
      <name val="Arial"/>
      <family val="2"/>
    </font>
    <font>
      <b/>
      <sz val="12"/>
      <color rgb="FF003366"/>
      <name val="Arial"/>
      <family val="2"/>
    </font>
    <font>
      <b/>
      <vertAlign val="subscript"/>
      <sz val="12"/>
      <color rgb="FF003366"/>
      <name val="Arial"/>
      <family val="2"/>
    </font>
    <font>
      <b/>
      <sz val="11"/>
      <color rgb="FF003366"/>
      <name val="Arial"/>
      <family val="2"/>
    </font>
    <font>
      <b/>
      <vertAlign val="subscript"/>
      <sz val="10"/>
      <color rgb="FFFFFFFF"/>
      <name val="Arial"/>
      <family val="2"/>
    </font>
    <font>
      <b/>
      <i/>
      <sz val="12"/>
      <color rgb="FF003366"/>
      <name val="Arial"/>
      <family val="2"/>
    </font>
    <font>
      <b/>
      <i/>
      <vertAlign val="subscript"/>
      <sz val="12"/>
      <color rgb="FF003366"/>
      <name val="Arial"/>
      <family val="2"/>
    </font>
    <font>
      <b/>
      <i/>
      <sz val="16"/>
      <color indexed="10"/>
      <name val="Arial"/>
      <family val="2"/>
    </font>
    <font>
      <b/>
      <i/>
      <vertAlign val="subscript"/>
      <sz val="16"/>
      <color indexed="10"/>
      <name val="Arial"/>
      <family val="2"/>
    </font>
    <font>
      <sz val="16"/>
      <name val="Arial"/>
      <family val="2"/>
    </font>
    <font>
      <sz val="12"/>
      <color rgb="FF003366"/>
      <name val="Arial"/>
      <family val="2"/>
    </font>
    <font>
      <b/>
      <sz val="14"/>
      <color rgb="FF7030A0"/>
      <name val="Arial"/>
      <family val="2"/>
    </font>
    <font>
      <b/>
      <i/>
      <sz val="14"/>
      <color rgb="FF7030A0"/>
      <name val="Arial"/>
      <family val="2"/>
    </font>
    <font>
      <b/>
      <sz val="14"/>
      <color rgb="FF003366"/>
      <name val="Arial"/>
      <family val="2"/>
    </font>
    <font>
      <b/>
      <vertAlign val="subscript"/>
      <sz val="14"/>
      <color rgb="FF003366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lightGray">
        <fgColor indexed="22"/>
        <bgColor indexed="42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A0A0E0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B7E7FF"/>
        <bgColor indexed="64"/>
      </patternFill>
    </fill>
    <fill>
      <patternFill patternType="lightGray">
        <fgColor indexed="22"/>
        <bgColor rgb="FFB7E7FF"/>
      </patternFill>
    </fill>
  </fills>
  <borders count="13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43">
    <xf numFmtId="0" fontId="0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2" borderId="0" applyNumberFormat="0" applyBorder="0" applyAlignment="0" applyProtection="0"/>
    <xf numFmtId="0" fontId="15" fillId="5" borderId="0" applyNumberFormat="0" applyBorder="0" applyAlignment="0" applyProtection="0"/>
    <xf numFmtId="0" fontId="15" fillId="3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6" borderId="0" applyNumberFormat="0" applyBorder="0" applyAlignment="0" applyProtection="0"/>
    <xf numFmtId="0" fontId="15" fillId="9" borderId="0" applyNumberFormat="0" applyBorder="0" applyAlignment="0" applyProtection="0"/>
    <xf numFmtId="0" fontId="15" fillId="3" borderId="0" applyNumberFormat="0" applyBorder="0" applyAlignment="0" applyProtection="0"/>
    <xf numFmtId="0" fontId="16" fillId="10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6" borderId="0" applyNumberFormat="0" applyBorder="0" applyAlignment="0" applyProtection="0"/>
    <xf numFmtId="0" fontId="16" fillId="10" borderId="0" applyNumberFormat="0" applyBorder="0" applyAlignment="0" applyProtection="0"/>
    <xf numFmtId="0" fontId="16" fillId="3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0" borderId="0" applyNumberFormat="0" applyBorder="0" applyAlignment="0" applyProtection="0"/>
    <xf numFmtId="0" fontId="16" fillId="14" borderId="0" applyNumberFormat="0" applyBorder="0" applyAlignment="0" applyProtection="0"/>
    <xf numFmtId="0" fontId="17" fillId="15" borderId="0" applyNumberFormat="0" applyBorder="0" applyAlignment="0" applyProtection="0"/>
    <xf numFmtId="0" fontId="26" fillId="2" borderId="1" applyNumberFormat="0" applyAlignment="0" applyProtection="0"/>
    <xf numFmtId="0" fontId="27" fillId="16" borderId="2" applyNumberFormat="0" applyAlignment="0" applyProtection="0"/>
    <xf numFmtId="0" fontId="28" fillId="0" borderId="0" applyNumberFormat="0" applyFill="0" applyBorder="0" applyAlignment="0" applyProtection="0"/>
    <xf numFmtId="0" fontId="29" fillId="17" borderId="0" applyNumberFormat="0" applyBorder="0" applyAlignment="0" applyProtection="0"/>
    <xf numFmtId="0" fontId="30" fillId="0" borderId="3" applyNumberFormat="0" applyFill="0" applyAlignment="0" applyProtection="0"/>
    <xf numFmtId="0" fontId="31" fillId="0" borderId="4" applyNumberFormat="0" applyFill="0" applyAlignment="0" applyProtection="0"/>
    <xf numFmtId="0" fontId="32" fillId="0" borderId="5" applyNumberFormat="0" applyFill="0" applyAlignment="0" applyProtection="0"/>
    <xf numFmtId="0" fontId="32" fillId="0" borderId="0" applyNumberFormat="0" applyFill="0" applyBorder="0" applyAlignment="0" applyProtection="0"/>
    <xf numFmtId="0" fontId="33" fillId="3" borderId="1" applyNumberFormat="0" applyAlignment="0" applyProtection="0"/>
    <xf numFmtId="0" fontId="34" fillId="0" borderId="6" applyNumberFormat="0" applyFill="0" applyAlignment="0" applyProtection="0"/>
    <xf numFmtId="0" fontId="35" fillId="8" borderId="0" applyNumberFormat="0" applyBorder="0" applyAlignment="0" applyProtection="0"/>
    <xf numFmtId="0" fontId="5" fillId="0" borderId="0"/>
    <xf numFmtId="0" fontId="1" fillId="4" borderId="7" applyNumberFormat="0" applyFont="0" applyAlignment="0" applyProtection="0"/>
    <xf numFmtId="0" fontId="36" fillId="2" borderId="8" applyNumberFormat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0" borderId="0" applyNumberFormat="0" applyFill="0" applyBorder="0" applyAlignment="0" applyProtection="0"/>
  </cellStyleXfs>
  <cellXfs count="666">
    <xf numFmtId="0" fontId="0" fillId="0" borderId="0" xfId="0"/>
    <xf numFmtId="0" fontId="0" fillId="0" borderId="0" xfId="0" applyFill="1" applyBorder="1"/>
    <xf numFmtId="0" fontId="0" fillId="0" borderId="0" xfId="0" applyBorder="1"/>
    <xf numFmtId="165" fontId="2" fillId="0" borderId="0" xfId="0" applyNumberFormat="1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3" fillId="18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/>
    <xf numFmtId="0" fontId="4" fillId="0" borderId="0" xfId="0" applyFont="1" applyFill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/>
    </xf>
    <xf numFmtId="0" fontId="4" fillId="18" borderId="10" xfId="0" applyFont="1" applyFill="1" applyBorder="1" applyAlignment="1">
      <alignment horizontal="center" wrapText="1"/>
    </xf>
    <xf numFmtId="164" fontId="4" fillId="0" borderId="11" xfId="0" applyNumberFormat="1" applyFont="1" applyBorder="1" applyAlignment="1">
      <alignment horizontal="center" wrapText="1"/>
    </xf>
    <xf numFmtId="164" fontId="4" fillId="0" borderId="12" xfId="0" applyNumberFormat="1" applyFont="1" applyBorder="1" applyAlignment="1">
      <alignment horizontal="center" wrapText="1"/>
    </xf>
    <xf numFmtId="164" fontId="4" fillId="0" borderId="13" xfId="0" applyNumberFormat="1" applyFont="1" applyBorder="1" applyAlignment="1">
      <alignment horizontal="center" wrapText="1"/>
    </xf>
    <xf numFmtId="0" fontId="4" fillId="18" borderId="14" xfId="0" applyFont="1" applyFill="1" applyBorder="1" applyAlignment="1">
      <alignment horizontal="center" wrapText="1"/>
    </xf>
    <xf numFmtId="164" fontId="4" fillId="0" borderId="15" xfId="0" applyNumberFormat="1" applyFont="1" applyBorder="1" applyAlignment="1">
      <alignment horizontal="center" wrapText="1"/>
    </xf>
    <xf numFmtId="164" fontId="4" fillId="0" borderId="16" xfId="0" applyNumberFormat="1" applyFont="1" applyBorder="1" applyAlignment="1">
      <alignment horizontal="center" wrapText="1"/>
    </xf>
    <xf numFmtId="164" fontId="4" fillId="0" borderId="17" xfId="0" applyNumberFormat="1" applyFont="1" applyBorder="1" applyAlignment="1">
      <alignment horizontal="center" wrapText="1"/>
    </xf>
    <xf numFmtId="165" fontId="4" fillId="0" borderId="11" xfId="0" applyNumberFormat="1" applyFont="1" applyBorder="1" applyAlignment="1">
      <alignment horizontal="center" wrapText="1"/>
    </xf>
    <xf numFmtId="165" fontId="4" fillId="0" borderId="12" xfId="0" applyNumberFormat="1" applyFont="1" applyBorder="1" applyAlignment="1">
      <alignment horizontal="center" wrapText="1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wrapText="1"/>
    </xf>
    <xf numFmtId="0" fontId="12" fillId="0" borderId="18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0" fontId="12" fillId="0" borderId="20" xfId="0" applyFont="1" applyFill="1" applyBorder="1" applyAlignment="1">
      <alignment horizontal="center" vertical="center" wrapText="1"/>
    </xf>
    <xf numFmtId="165" fontId="4" fillId="0" borderId="13" xfId="0" applyNumberFormat="1" applyFont="1" applyBorder="1" applyAlignment="1">
      <alignment horizontal="center" wrapText="1"/>
    </xf>
    <xf numFmtId="165" fontId="4" fillId="0" borderId="15" xfId="0" applyNumberFormat="1" applyFont="1" applyBorder="1" applyAlignment="1">
      <alignment horizontal="center" wrapText="1"/>
    </xf>
    <xf numFmtId="165" fontId="4" fillId="0" borderId="16" xfId="0" applyNumberFormat="1" applyFont="1" applyBorder="1" applyAlignment="1">
      <alignment horizontal="center" wrapText="1"/>
    </xf>
    <xf numFmtId="165" fontId="4" fillId="0" borderId="17" xfId="0" applyNumberFormat="1" applyFont="1" applyBorder="1" applyAlignment="1">
      <alignment horizontal="center" wrapText="1"/>
    </xf>
    <xf numFmtId="0" fontId="4" fillId="0" borderId="0" xfId="0" applyFont="1" applyFill="1" applyBorder="1" applyAlignment="1">
      <alignment horizontal="center" wrapText="1"/>
    </xf>
    <xf numFmtId="165" fontId="4" fillId="0" borderId="0" xfId="0" applyNumberFormat="1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13" fillId="18" borderId="2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wrapText="1"/>
    </xf>
    <xf numFmtId="164" fontId="4" fillId="0" borderId="22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 wrapText="1"/>
    </xf>
    <xf numFmtId="164" fontId="4" fillId="0" borderId="26" xfId="0" applyNumberFormat="1" applyFont="1" applyBorder="1" applyAlignment="1">
      <alignment horizontal="center" vertical="center" wrapText="1"/>
    </xf>
    <xf numFmtId="164" fontId="4" fillId="0" borderId="27" xfId="0" applyNumberFormat="1" applyFont="1" applyBorder="1" applyAlignment="1">
      <alignment horizontal="center" vertical="center" wrapText="1"/>
    </xf>
    <xf numFmtId="164" fontId="4" fillId="0" borderId="28" xfId="0" applyNumberFormat="1" applyFont="1" applyBorder="1" applyAlignment="1">
      <alignment horizontal="center" vertical="center" wrapText="1"/>
    </xf>
    <xf numFmtId="164" fontId="4" fillId="0" borderId="29" xfId="0" applyNumberFormat="1" applyFont="1" applyBorder="1" applyAlignment="1">
      <alignment horizontal="center" vertical="center" wrapText="1"/>
    </xf>
    <xf numFmtId="164" fontId="4" fillId="0" borderId="30" xfId="0" applyNumberFormat="1" applyFont="1" applyBorder="1" applyAlignment="1">
      <alignment horizontal="center" vertical="center" wrapText="1"/>
    </xf>
    <xf numFmtId="164" fontId="0" fillId="0" borderId="22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5" fontId="4" fillId="18" borderId="21" xfId="0" applyNumberFormat="1" applyFont="1" applyFill="1" applyBorder="1" applyAlignment="1">
      <alignment horizontal="center" wrapText="1"/>
    </xf>
    <xf numFmtId="1" fontId="4" fillId="18" borderId="21" xfId="0" applyNumberFormat="1" applyFont="1" applyFill="1" applyBorder="1" applyAlignment="1">
      <alignment horizontal="center" wrapText="1"/>
    </xf>
    <xf numFmtId="0" fontId="20" fillId="19" borderId="33" xfId="0" applyFont="1" applyFill="1" applyBorder="1" applyAlignment="1">
      <alignment horizontal="center" vertical="center" wrapText="1"/>
    </xf>
    <xf numFmtId="1" fontId="4" fillId="18" borderId="34" xfId="0" applyNumberFormat="1" applyFont="1" applyFill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19" fillId="0" borderId="15" xfId="0" applyFont="1" applyBorder="1" applyAlignment="1">
      <alignment horizontal="center" wrapText="1"/>
    </xf>
    <xf numFmtId="0" fontId="19" fillId="0" borderId="16" xfId="0" applyFont="1" applyBorder="1" applyAlignment="1">
      <alignment horizontal="center" wrapText="1"/>
    </xf>
    <xf numFmtId="0" fontId="19" fillId="0" borderId="17" xfId="0" applyFont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center" vertical="top" wrapText="1"/>
    </xf>
    <xf numFmtId="0" fontId="19" fillId="0" borderId="0" xfId="0" applyFont="1" applyBorder="1" applyAlignment="1">
      <alignment horizontal="center" vertical="top" wrapText="1"/>
    </xf>
    <xf numFmtId="164" fontId="19" fillId="0" borderId="11" xfId="0" applyNumberFormat="1" applyFont="1" applyBorder="1" applyAlignment="1">
      <alignment horizontal="center" wrapText="1"/>
    </xf>
    <xf numFmtId="164" fontId="19" fillId="0" borderId="12" xfId="0" applyNumberFormat="1" applyFont="1" applyBorder="1" applyAlignment="1">
      <alignment horizontal="center" wrapText="1"/>
    </xf>
    <xf numFmtId="164" fontId="19" fillId="0" borderId="13" xfId="0" applyNumberFormat="1" applyFont="1" applyBorder="1" applyAlignment="1">
      <alignment horizontal="center" wrapText="1"/>
    </xf>
    <xf numFmtId="164" fontId="19" fillId="0" borderId="15" xfId="0" applyNumberFormat="1" applyFont="1" applyBorder="1" applyAlignment="1">
      <alignment horizontal="center" wrapText="1"/>
    </xf>
    <xf numFmtId="164" fontId="19" fillId="0" borderId="16" xfId="0" applyNumberFormat="1" applyFont="1" applyBorder="1" applyAlignment="1">
      <alignment horizontal="center" wrapText="1"/>
    </xf>
    <xf numFmtId="164" fontId="19" fillId="0" borderId="17" xfId="0" applyNumberFormat="1" applyFont="1" applyBorder="1" applyAlignment="1">
      <alignment horizontal="center" wrapText="1"/>
    </xf>
    <xf numFmtId="0" fontId="20" fillId="19" borderId="35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41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164" fontId="0" fillId="0" borderId="43" xfId="0" applyNumberFormat="1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 wrapText="1"/>
    </xf>
    <xf numFmtId="0" fontId="22" fillId="20" borderId="48" xfId="0" applyFont="1" applyFill="1" applyBorder="1" applyAlignment="1">
      <alignment horizontal="center" vertical="center"/>
    </xf>
    <xf numFmtId="0" fontId="22" fillId="20" borderId="49" xfId="0" applyFont="1" applyFill="1" applyBorder="1" applyAlignment="1">
      <alignment horizontal="center" vertical="center"/>
    </xf>
    <xf numFmtId="0" fontId="22" fillId="20" borderId="50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2" fillId="21" borderId="52" xfId="0" applyFont="1" applyFill="1" applyBorder="1" applyAlignment="1">
      <alignment horizontal="center" vertical="center"/>
    </xf>
    <xf numFmtId="0" fontId="22" fillId="21" borderId="53" xfId="0" applyFont="1" applyFill="1" applyBorder="1" applyAlignment="1">
      <alignment horizontal="center" vertical="center"/>
    </xf>
    <xf numFmtId="0" fontId="23" fillId="21" borderId="54" xfId="0" applyFont="1" applyFill="1" applyBorder="1" applyAlignment="1">
      <alignment horizontal="center" vertical="center"/>
    </xf>
    <xf numFmtId="0" fontId="22" fillId="21" borderId="55" xfId="0" applyFont="1" applyFill="1" applyBorder="1" applyAlignment="1">
      <alignment horizontal="center" vertical="center"/>
    </xf>
    <xf numFmtId="0" fontId="23" fillId="21" borderId="56" xfId="0" applyFont="1" applyFill="1" applyBorder="1" applyAlignment="1">
      <alignment horizontal="center" vertical="center"/>
    </xf>
    <xf numFmtId="0" fontId="22" fillId="21" borderId="57" xfId="0" applyFont="1" applyFill="1" applyBorder="1" applyAlignment="1">
      <alignment horizontal="center" vertical="center"/>
    </xf>
    <xf numFmtId="0" fontId="12" fillId="19" borderId="58" xfId="0" applyFont="1" applyFill="1" applyBorder="1" applyAlignment="1">
      <alignment horizontal="center" vertical="center" wrapText="1"/>
    </xf>
    <xf numFmtId="0" fontId="12" fillId="19" borderId="46" xfId="0" applyFont="1" applyFill="1" applyBorder="1" applyAlignment="1">
      <alignment horizontal="center" vertical="center" wrapText="1"/>
    </xf>
    <xf numFmtId="0" fontId="12" fillId="19" borderId="47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12" fillId="0" borderId="13" xfId="0" applyFont="1" applyFill="1" applyBorder="1" applyAlignment="1">
      <alignment horizontal="center" vertical="center" wrapText="1"/>
    </xf>
    <xf numFmtId="0" fontId="12" fillId="19" borderId="18" xfId="0" applyFont="1" applyFill="1" applyBorder="1" applyAlignment="1">
      <alignment horizontal="center" vertical="center" wrapText="1"/>
    </xf>
    <xf numFmtId="0" fontId="12" fillId="19" borderId="19" xfId="0" applyFont="1" applyFill="1" applyBorder="1" applyAlignment="1">
      <alignment horizontal="center" vertical="center" wrapText="1"/>
    </xf>
    <xf numFmtId="0" fontId="12" fillId="19" borderId="20" xfId="0" applyFont="1" applyFill="1" applyBorder="1" applyAlignment="1">
      <alignment horizontal="center" vertical="center" wrapText="1"/>
    </xf>
    <xf numFmtId="0" fontId="0" fillId="22" borderId="0" xfId="0" applyFill="1"/>
    <xf numFmtId="165" fontId="19" fillId="0" borderId="11" xfId="0" applyNumberFormat="1" applyFont="1" applyBorder="1" applyAlignment="1">
      <alignment horizontal="center" wrapText="1"/>
    </xf>
    <xf numFmtId="165" fontId="19" fillId="0" borderId="12" xfId="0" applyNumberFormat="1" applyFont="1" applyBorder="1" applyAlignment="1">
      <alignment horizontal="center" wrapText="1"/>
    </xf>
    <xf numFmtId="165" fontId="19" fillId="0" borderId="13" xfId="0" applyNumberFormat="1" applyFont="1" applyBorder="1" applyAlignment="1">
      <alignment horizontal="center" wrapText="1"/>
    </xf>
    <xf numFmtId="165" fontId="19" fillId="0" borderId="15" xfId="0" applyNumberFormat="1" applyFont="1" applyBorder="1" applyAlignment="1">
      <alignment horizontal="center" wrapText="1"/>
    </xf>
    <xf numFmtId="165" fontId="19" fillId="0" borderId="16" xfId="0" applyNumberFormat="1" applyFont="1" applyBorder="1" applyAlignment="1">
      <alignment horizontal="center" wrapText="1"/>
    </xf>
    <xf numFmtId="165" fontId="19" fillId="0" borderId="17" xfId="0" applyNumberFormat="1" applyFont="1" applyBorder="1" applyAlignment="1">
      <alignment horizontal="center" wrapText="1"/>
    </xf>
    <xf numFmtId="0" fontId="12" fillId="0" borderId="0" xfId="0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165" fontId="4" fillId="0" borderId="0" xfId="0" applyNumberFormat="1" applyFont="1" applyBorder="1" applyAlignment="1">
      <alignment horizontal="center" wrapText="1"/>
    </xf>
    <xf numFmtId="0" fontId="19" fillId="0" borderId="0" xfId="0" applyFont="1" applyBorder="1" applyAlignment="1">
      <alignment horizontal="center" wrapText="1"/>
    </xf>
    <xf numFmtId="0" fontId="12" fillId="0" borderId="38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9" fillId="0" borderId="63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22" fillId="20" borderId="64" xfId="0" applyFont="1" applyFill="1" applyBorder="1" applyAlignment="1">
      <alignment horizontal="center" vertical="center"/>
    </xf>
    <xf numFmtId="0" fontId="22" fillId="20" borderId="65" xfId="0" applyFont="1" applyFill="1" applyBorder="1" applyAlignment="1">
      <alignment horizontal="center" vertical="center"/>
    </xf>
    <xf numFmtId="0" fontId="22" fillId="20" borderId="66" xfId="0" applyFont="1" applyFill="1" applyBorder="1" applyAlignment="1">
      <alignment horizontal="center" vertical="center"/>
    </xf>
    <xf numFmtId="0" fontId="22" fillId="21" borderId="67" xfId="0" applyFont="1" applyFill="1" applyBorder="1" applyAlignment="1">
      <alignment horizontal="center" vertical="center"/>
    </xf>
    <xf numFmtId="0" fontId="22" fillId="21" borderId="68" xfId="0" applyFont="1" applyFill="1" applyBorder="1" applyAlignment="1">
      <alignment horizontal="center" vertical="center"/>
    </xf>
    <xf numFmtId="0" fontId="22" fillId="21" borderId="69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22" fillId="20" borderId="7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2" fillId="0" borderId="38" xfId="0" applyFont="1" applyFill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0" fillId="23" borderId="72" xfId="0" applyNumberFormat="1" applyFill="1" applyBorder="1" applyAlignment="1">
      <alignment horizontal="center" vertical="center"/>
    </xf>
    <xf numFmtId="164" fontId="0" fillId="23" borderId="22" xfId="0" applyNumberFormat="1" applyFill="1" applyBorder="1" applyAlignment="1">
      <alignment horizontal="center" vertical="center"/>
    </xf>
    <xf numFmtId="164" fontId="0" fillId="23" borderId="73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164" fontId="9" fillId="0" borderId="76" xfId="0" applyNumberFormat="1" applyFont="1" applyFill="1" applyBorder="1" applyAlignment="1">
      <alignment horizontal="center" vertical="center"/>
    </xf>
    <xf numFmtId="164" fontId="9" fillId="0" borderId="77" xfId="0" applyNumberFormat="1" applyFont="1" applyFill="1" applyBorder="1" applyAlignment="1">
      <alignment horizontal="center" vertical="center"/>
    </xf>
    <xf numFmtId="165" fontId="4" fillId="0" borderId="77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65" fontId="2" fillId="0" borderId="0" xfId="0" applyNumberFormat="1" applyFont="1" applyFill="1" applyBorder="1" applyAlignment="1">
      <alignment horizontal="center" wrapText="1"/>
    </xf>
    <xf numFmtId="165" fontId="4" fillId="0" borderId="0" xfId="0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horizontal="right" vertical="center" wrapText="1"/>
    </xf>
    <xf numFmtId="0" fontId="4" fillId="0" borderId="0" xfId="0" applyFont="1" applyAlignment="1">
      <alignment horizontal="left" vertical="center" wrapText="1"/>
    </xf>
    <xf numFmtId="0" fontId="10" fillId="0" borderId="61" xfId="0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37" applyAlignment="1">
      <alignment horizontal="center" vertical="center"/>
    </xf>
    <xf numFmtId="0" fontId="5" fillId="0" borderId="0" xfId="37"/>
    <xf numFmtId="0" fontId="12" fillId="19" borderId="18" xfId="37" applyFont="1" applyFill="1" applyBorder="1" applyAlignment="1">
      <alignment horizontal="center" vertical="center" wrapText="1"/>
    </xf>
    <xf numFmtId="0" fontId="12" fillId="19" borderId="19" xfId="37" applyFont="1" applyFill="1" applyBorder="1" applyAlignment="1">
      <alignment horizontal="center" vertical="center" wrapText="1"/>
    </xf>
    <xf numFmtId="0" fontId="12" fillId="19" borderId="20" xfId="37" applyFont="1" applyFill="1" applyBorder="1" applyAlignment="1">
      <alignment horizontal="center" vertical="center" wrapText="1"/>
    </xf>
    <xf numFmtId="0" fontId="4" fillId="0" borderId="0" xfId="37" applyFont="1" applyAlignment="1">
      <alignment horizontal="center" vertical="center"/>
    </xf>
    <xf numFmtId="0" fontId="13" fillId="18" borderId="21" xfId="37" applyFont="1" applyFill="1" applyBorder="1" applyAlignment="1">
      <alignment horizontal="center" vertical="center" wrapText="1"/>
    </xf>
    <xf numFmtId="0" fontId="12" fillId="0" borderId="11" xfId="37" applyFont="1" applyFill="1" applyBorder="1" applyAlignment="1">
      <alignment horizontal="center" vertical="center" wrapText="1"/>
    </xf>
    <xf numFmtId="0" fontId="12" fillId="0" borderId="12" xfId="37" applyFont="1" applyFill="1" applyBorder="1" applyAlignment="1">
      <alignment horizontal="center" vertical="center" wrapText="1"/>
    </xf>
    <xf numFmtId="0" fontId="12" fillId="0" borderId="13" xfId="37" applyFont="1" applyFill="1" applyBorder="1" applyAlignment="1">
      <alignment horizontal="center" vertical="center" wrapText="1"/>
    </xf>
    <xf numFmtId="165" fontId="4" fillId="18" borderId="21" xfId="37" applyNumberFormat="1" applyFont="1" applyFill="1" applyBorder="1" applyAlignment="1">
      <alignment horizontal="center" wrapText="1"/>
    </xf>
    <xf numFmtId="165" fontId="4" fillId="0" borderId="11" xfId="37" applyNumberFormat="1" applyFont="1" applyBorder="1" applyAlignment="1">
      <alignment horizontal="center" wrapText="1"/>
    </xf>
    <xf numFmtId="165" fontId="4" fillId="0" borderId="12" xfId="37" applyNumberFormat="1" applyFont="1" applyBorder="1" applyAlignment="1">
      <alignment horizontal="center" wrapText="1"/>
    </xf>
    <xf numFmtId="165" fontId="4" fillId="0" borderId="13" xfId="37" applyNumberFormat="1" applyFont="1" applyBorder="1" applyAlignment="1">
      <alignment horizontal="center" wrapText="1"/>
    </xf>
    <xf numFmtId="1" fontId="4" fillId="18" borderId="21" xfId="37" applyNumberFormat="1" applyFont="1" applyFill="1" applyBorder="1" applyAlignment="1">
      <alignment horizontal="center" wrapText="1"/>
    </xf>
    <xf numFmtId="0" fontId="4" fillId="0" borderId="0" xfId="37" applyFont="1" applyAlignment="1">
      <alignment horizontal="center"/>
    </xf>
    <xf numFmtId="0" fontId="5" fillId="0" borderId="0" xfId="37" applyAlignment="1">
      <alignment horizontal="center"/>
    </xf>
    <xf numFmtId="1" fontId="4" fillId="18" borderId="34" xfId="37" applyNumberFormat="1" applyFont="1" applyFill="1" applyBorder="1" applyAlignment="1">
      <alignment horizontal="center" wrapText="1"/>
    </xf>
    <xf numFmtId="165" fontId="19" fillId="0" borderId="15" xfId="37" applyNumberFormat="1" applyFont="1" applyBorder="1" applyAlignment="1">
      <alignment horizontal="center" wrapText="1"/>
    </xf>
    <xf numFmtId="165" fontId="19" fillId="0" borderId="16" xfId="37" applyNumberFormat="1" applyFont="1" applyBorder="1" applyAlignment="1">
      <alignment horizontal="center" wrapText="1"/>
    </xf>
    <xf numFmtId="165" fontId="19" fillId="0" borderId="17" xfId="37" applyNumberFormat="1" applyFont="1" applyBorder="1" applyAlignment="1">
      <alignment horizontal="center" wrapText="1"/>
    </xf>
    <xf numFmtId="0" fontId="5" fillId="0" borderId="0" xfId="37" applyFill="1" applyBorder="1" applyAlignment="1">
      <alignment horizontal="center" vertical="center"/>
    </xf>
    <xf numFmtId="0" fontId="5" fillId="0" borderId="0" xfId="37" applyFill="1" applyBorder="1"/>
    <xf numFmtId="0" fontId="12" fillId="19" borderId="58" xfId="37" applyFont="1" applyFill="1" applyBorder="1" applyAlignment="1">
      <alignment horizontal="center" vertical="center" wrapText="1"/>
    </xf>
    <xf numFmtId="0" fontId="12" fillId="19" borderId="46" xfId="37" applyFont="1" applyFill="1" applyBorder="1" applyAlignment="1">
      <alignment horizontal="center" vertical="center" wrapText="1"/>
    </xf>
    <xf numFmtId="0" fontId="12" fillId="19" borderId="47" xfId="37" applyFont="1" applyFill="1" applyBorder="1" applyAlignment="1">
      <alignment horizontal="center" vertical="center" wrapText="1"/>
    </xf>
    <xf numFmtId="0" fontId="14" fillId="0" borderId="0" xfId="37" applyFont="1" applyFill="1" applyBorder="1" applyAlignment="1">
      <alignment horizontal="center" vertical="center" wrapText="1"/>
    </xf>
    <xf numFmtId="0" fontId="12" fillId="0" borderId="18" xfId="37" applyFont="1" applyFill="1" applyBorder="1" applyAlignment="1">
      <alignment horizontal="center" vertical="center" wrapText="1"/>
    </xf>
    <xf numFmtId="0" fontId="12" fillId="0" borderId="19" xfId="37" applyFont="1" applyFill="1" applyBorder="1" applyAlignment="1">
      <alignment horizontal="center" vertical="center" wrapText="1"/>
    </xf>
    <xf numFmtId="0" fontId="12" fillId="0" borderId="20" xfId="37" applyFont="1" applyFill="1" applyBorder="1" applyAlignment="1">
      <alignment horizontal="center" vertical="center" wrapText="1"/>
    </xf>
    <xf numFmtId="0" fontId="4" fillId="0" borderId="0" xfId="37" applyFont="1" applyFill="1" applyBorder="1" applyAlignment="1">
      <alignment horizontal="left" vertical="center"/>
    </xf>
    <xf numFmtId="0" fontId="4" fillId="0" borderId="0" xfId="37" applyFont="1" applyFill="1" applyBorder="1" applyAlignment="1">
      <alignment horizontal="center" vertical="center"/>
    </xf>
    <xf numFmtId="0" fontId="4" fillId="0" borderId="0" xfId="37" applyFont="1" applyFill="1" applyBorder="1"/>
    <xf numFmtId="164" fontId="19" fillId="0" borderId="11" xfId="37" applyNumberFormat="1" applyFont="1" applyBorder="1" applyAlignment="1">
      <alignment horizontal="center" wrapText="1"/>
    </xf>
    <xf numFmtId="164" fontId="19" fillId="0" borderId="12" xfId="37" applyNumberFormat="1" applyFont="1" applyBorder="1" applyAlignment="1">
      <alignment horizontal="center" wrapText="1"/>
    </xf>
    <xf numFmtId="164" fontId="19" fillId="0" borderId="13" xfId="37" applyNumberFormat="1" applyFont="1" applyBorder="1" applyAlignment="1">
      <alignment horizontal="center" wrapText="1"/>
    </xf>
    <xf numFmtId="164" fontId="4" fillId="0" borderId="0" xfId="37" applyNumberFormat="1" applyFont="1" applyFill="1" applyBorder="1" applyAlignment="1">
      <alignment horizontal="center" vertical="center"/>
    </xf>
    <xf numFmtId="0" fontId="4" fillId="0" borderId="0" xfId="37" applyFont="1" applyFill="1" applyBorder="1" applyAlignment="1">
      <alignment horizontal="center"/>
    </xf>
    <xf numFmtId="164" fontId="4" fillId="0" borderId="0" xfId="37" applyNumberFormat="1" applyFont="1" applyFill="1" applyBorder="1" applyAlignment="1">
      <alignment horizontal="center"/>
    </xf>
    <xf numFmtId="0" fontId="5" fillId="0" borderId="0" xfId="37" applyFill="1" applyBorder="1" applyAlignment="1">
      <alignment horizontal="center"/>
    </xf>
    <xf numFmtId="164" fontId="19" fillId="0" borderId="15" xfId="37" applyNumberFormat="1" applyFont="1" applyBorder="1" applyAlignment="1">
      <alignment horizontal="center" wrapText="1"/>
    </xf>
    <xf numFmtId="164" fontId="19" fillId="0" borderId="16" xfId="37" applyNumberFormat="1" applyFont="1" applyBorder="1" applyAlignment="1">
      <alignment horizontal="center" wrapText="1"/>
    </xf>
    <xf numFmtId="164" fontId="19" fillId="0" borderId="17" xfId="37" applyNumberFormat="1" applyFont="1" applyBorder="1" applyAlignment="1">
      <alignment horizontal="center" wrapText="1"/>
    </xf>
    <xf numFmtId="0" fontId="4" fillId="0" borderId="0" xfId="37" applyFont="1" applyBorder="1" applyAlignment="1">
      <alignment horizontal="center" vertical="center"/>
    </xf>
    <xf numFmtId="0" fontId="18" fillId="0" borderId="0" xfId="37" applyFont="1" applyBorder="1" applyAlignment="1">
      <alignment horizontal="center" vertical="top" wrapText="1"/>
    </xf>
    <xf numFmtId="0" fontId="8" fillId="0" borderId="0" xfId="0" applyFont="1" applyAlignment="1">
      <alignment horizontal="left" vertical="center"/>
    </xf>
    <xf numFmtId="164" fontId="4" fillId="0" borderId="0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right" vertical="center"/>
    </xf>
    <xf numFmtId="0" fontId="45" fillId="0" borderId="0" xfId="0" applyFont="1" applyFill="1" applyBorder="1" applyAlignment="1">
      <alignment horizontal="left"/>
    </xf>
    <xf numFmtId="0" fontId="48" fillId="0" borderId="0" xfId="0" applyFont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164" fontId="48" fillId="0" borderId="0" xfId="0" applyNumberFormat="1" applyFont="1" applyFill="1" applyBorder="1" applyAlignment="1">
      <alignment horizontal="center" vertical="center"/>
    </xf>
    <xf numFmtId="0" fontId="48" fillId="0" borderId="0" xfId="0" applyFont="1"/>
    <xf numFmtId="0" fontId="48" fillId="0" borderId="0" xfId="0" applyFont="1" applyFill="1" applyBorder="1"/>
    <xf numFmtId="0" fontId="48" fillId="0" borderId="0" xfId="37" applyFont="1" applyAlignment="1">
      <alignment horizontal="center" vertical="center"/>
    </xf>
    <xf numFmtId="0" fontId="48" fillId="0" borderId="0" xfId="37" applyFont="1" applyFill="1" applyBorder="1" applyAlignment="1">
      <alignment horizontal="center" vertical="center"/>
    </xf>
    <xf numFmtId="0" fontId="48" fillId="0" borderId="0" xfId="37" applyFont="1" applyFill="1" applyBorder="1"/>
    <xf numFmtId="0" fontId="48" fillId="0" borderId="0" xfId="37" applyFont="1"/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164" fontId="43" fillId="0" borderId="0" xfId="0" applyNumberFormat="1" applyFont="1" applyFill="1" applyBorder="1" applyAlignment="1">
      <alignment horizontal="center" vertical="center"/>
    </xf>
    <xf numFmtId="0" fontId="43" fillId="0" borderId="0" xfId="0" applyFont="1"/>
    <xf numFmtId="0" fontId="43" fillId="0" borderId="0" xfId="0" applyFont="1" applyFill="1"/>
    <xf numFmtId="0" fontId="42" fillId="0" borderId="0" xfId="0" applyFont="1"/>
    <xf numFmtId="0" fontId="43" fillId="0" borderId="0" xfId="0" applyFont="1" applyFill="1" applyBorder="1"/>
    <xf numFmtId="0" fontId="43" fillId="0" borderId="0" xfId="37" applyFont="1" applyAlignment="1">
      <alignment horizontal="center" vertical="center"/>
    </xf>
    <xf numFmtId="0" fontId="43" fillId="0" borderId="0" xfId="37" applyFont="1" applyFill="1" applyBorder="1" applyAlignment="1">
      <alignment horizontal="center" vertical="center"/>
    </xf>
    <xf numFmtId="0" fontId="43" fillId="0" borderId="0" xfId="37" applyFont="1" applyFill="1" applyBorder="1"/>
    <xf numFmtId="0" fontId="43" fillId="0" borderId="0" xfId="37" applyFont="1"/>
    <xf numFmtId="0" fontId="42" fillId="0" borderId="0" xfId="0" applyFont="1" applyFill="1" applyBorder="1" applyAlignment="1">
      <alignment horizontal="center" vertical="center"/>
    </xf>
    <xf numFmtId="0" fontId="42" fillId="0" borderId="0" xfId="0" applyFont="1" applyFill="1" applyBorder="1"/>
    <xf numFmtId="0" fontId="43" fillId="0" borderId="0" xfId="0" applyFont="1" applyFill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 wrapText="1"/>
    </xf>
    <xf numFmtId="164" fontId="48" fillId="0" borderId="0" xfId="0" applyNumberFormat="1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 wrapText="1"/>
    </xf>
    <xf numFmtId="166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top"/>
    </xf>
    <xf numFmtId="0" fontId="48" fillId="0" borderId="0" xfId="0" applyFont="1" applyBorder="1" applyAlignment="1">
      <alignment horizontal="center" vertical="top"/>
    </xf>
    <xf numFmtId="0" fontId="9" fillId="0" borderId="84" xfId="0" applyFont="1" applyBorder="1" applyAlignment="1">
      <alignment horizontal="center" vertical="center"/>
    </xf>
    <xf numFmtId="164" fontId="0" fillId="0" borderId="77" xfId="0" applyNumberFormat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6" borderId="64" xfId="0" applyFont="1" applyFill="1" applyBorder="1" applyAlignment="1">
      <alignment horizontal="center" vertical="center"/>
    </xf>
    <xf numFmtId="0" fontId="8" fillId="0" borderId="71" xfId="0" applyFont="1" applyBorder="1" applyAlignment="1">
      <alignment horizontal="center" vertical="center"/>
    </xf>
    <xf numFmtId="0" fontId="12" fillId="26" borderId="71" xfId="0" applyFont="1" applyFill="1" applyBorder="1" applyAlignment="1">
      <alignment horizontal="center" vertical="center" wrapText="1"/>
    </xf>
    <xf numFmtId="0" fontId="12" fillId="26" borderId="50" xfId="0" applyFont="1" applyFill="1" applyBorder="1" applyAlignment="1">
      <alignment horizontal="center" vertical="center" wrapText="1"/>
    </xf>
    <xf numFmtId="0" fontId="12" fillId="26" borderId="51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/>
    </xf>
    <xf numFmtId="0" fontId="58" fillId="19" borderId="35" xfId="0" applyFont="1" applyFill="1" applyBorder="1" applyAlignment="1">
      <alignment horizontal="center" vertical="center" wrapText="1"/>
    </xf>
    <xf numFmtId="0" fontId="22" fillId="19" borderId="46" xfId="0" applyFont="1" applyFill="1" applyBorder="1" applyAlignment="1">
      <alignment horizontal="center" vertical="center" wrapText="1"/>
    </xf>
    <xf numFmtId="0" fontId="22" fillId="0" borderId="18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22" fillId="0" borderId="20" xfId="0" applyFont="1" applyFill="1" applyBorder="1" applyAlignment="1">
      <alignment horizontal="center" vertical="center" wrapText="1"/>
    </xf>
    <xf numFmtId="0" fontId="22" fillId="19" borderId="45" xfId="0" applyFont="1" applyFill="1" applyBorder="1" applyAlignment="1">
      <alignment horizontal="center" vertical="center" wrapText="1"/>
    </xf>
    <xf numFmtId="0" fontId="22" fillId="19" borderId="47" xfId="0" applyFont="1" applyFill="1" applyBorder="1" applyAlignment="1">
      <alignment horizontal="center" vertical="center" wrapText="1"/>
    </xf>
    <xf numFmtId="0" fontId="61" fillId="0" borderId="82" xfId="0" applyFont="1" applyBorder="1" applyAlignment="1">
      <alignment horizontal="center" vertical="center" wrapText="1"/>
    </xf>
    <xf numFmtId="0" fontId="61" fillId="0" borderId="83" xfId="0" applyFont="1" applyBorder="1" applyAlignment="1">
      <alignment horizontal="center" vertical="center" wrapText="1"/>
    </xf>
    <xf numFmtId="0" fontId="61" fillId="0" borderId="16" xfId="0" applyFont="1" applyBorder="1" applyAlignment="1">
      <alignment horizontal="center" vertical="center" wrapText="1"/>
    </xf>
    <xf numFmtId="0" fontId="62" fillId="0" borderId="16" xfId="0" applyFont="1" applyBorder="1" applyAlignment="1">
      <alignment horizontal="center" vertical="center" wrapText="1"/>
    </xf>
    <xf numFmtId="0" fontId="62" fillId="0" borderId="39" xfId="0" applyFont="1" applyBorder="1" applyAlignment="1">
      <alignment horizontal="center" vertical="center" wrapText="1"/>
    </xf>
    <xf numFmtId="0" fontId="62" fillId="0" borderId="40" xfId="0" applyFont="1" applyBorder="1" applyAlignment="1">
      <alignment horizontal="center" vertical="center" wrapText="1"/>
    </xf>
    <xf numFmtId="2" fontId="63" fillId="0" borderId="36" xfId="0" applyNumberFormat="1" applyFont="1" applyBorder="1" applyAlignment="1">
      <alignment horizontal="center" vertical="center" wrapText="1"/>
    </xf>
    <xf numFmtId="2" fontId="64" fillId="0" borderId="19" xfId="0" applyNumberFormat="1" applyFont="1" applyBorder="1" applyAlignment="1">
      <alignment horizontal="center" vertical="center" wrapText="1"/>
    </xf>
    <xf numFmtId="2" fontId="64" fillId="0" borderId="62" xfId="0" applyNumberFormat="1" applyFont="1" applyBorder="1" applyAlignment="1">
      <alignment horizontal="center" vertical="center" wrapText="1"/>
    </xf>
    <xf numFmtId="0" fontId="62" fillId="22" borderId="40" xfId="0" applyFont="1" applyFill="1" applyBorder="1" applyAlignment="1">
      <alignment horizontal="center" vertical="center" wrapText="1"/>
    </xf>
    <xf numFmtId="2" fontId="63" fillId="22" borderId="37" xfId="0" applyNumberFormat="1" applyFont="1" applyFill="1" applyBorder="1" applyAlignment="1">
      <alignment horizontal="center" vertical="center" wrapText="1"/>
    </xf>
    <xf numFmtId="2" fontId="63" fillId="22" borderId="12" xfId="0" applyNumberFormat="1" applyFont="1" applyFill="1" applyBorder="1" applyAlignment="1">
      <alignment horizontal="center" vertical="center" wrapText="1"/>
    </xf>
    <xf numFmtId="2" fontId="65" fillId="22" borderId="12" xfId="0" applyNumberFormat="1" applyFont="1" applyFill="1" applyBorder="1" applyAlignment="1">
      <alignment horizontal="center" vertical="center" wrapText="1"/>
    </xf>
    <xf numFmtId="2" fontId="65" fillId="22" borderId="38" xfId="0" applyNumberFormat="1" applyFont="1" applyFill="1" applyBorder="1" applyAlignment="1">
      <alignment horizontal="center" vertical="center" wrapText="1"/>
    </xf>
    <xf numFmtId="0" fontId="62" fillId="0" borderId="40" xfId="0" applyFont="1" applyFill="1" applyBorder="1" applyAlignment="1">
      <alignment horizontal="center" vertical="center" wrapText="1"/>
    </xf>
    <xf numFmtId="2" fontId="63" fillId="0" borderId="37" xfId="0" applyNumberFormat="1" applyFont="1" applyFill="1" applyBorder="1" applyAlignment="1">
      <alignment horizontal="center" vertical="center" wrapText="1"/>
    </xf>
    <xf numFmtId="2" fontId="63" fillId="0" borderId="12" xfId="0" applyNumberFormat="1" applyFont="1" applyFill="1" applyBorder="1" applyAlignment="1">
      <alignment horizontal="center" vertical="center" wrapText="1"/>
    </xf>
    <xf numFmtId="2" fontId="64" fillId="0" borderId="12" xfId="0" applyNumberFormat="1" applyFont="1" applyFill="1" applyBorder="1" applyAlignment="1">
      <alignment horizontal="center" vertical="center" wrapText="1"/>
    </xf>
    <xf numFmtId="2" fontId="64" fillId="0" borderId="38" xfId="0" applyNumberFormat="1" applyFont="1" applyFill="1" applyBorder="1" applyAlignment="1">
      <alignment horizontal="center" vertical="center" wrapText="1"/>
    </xf>
    <xf numFmtId="165" fontId="65" fillId="22" borderId="12" xfId="0" applyNumberFormat="1" applyFont="1" applyFill="1" applyBorder="1" applyAlignment="1">
      <alignment horizontal="center" vertical="center" wrapText="1"/>
    </xf>
    <xf numFmtId="165" fontId="65" fillId="22" borderId="38" xfId="0" applyNumberFormat="1" applyFont="1" applyFill="1" applyBorder="1" applyAlignment="1">
      <alignment horizontal="center" vertical="center" wrapText="1"/>
    </xf>
    <xf numFmtId="165" fontId="63" fillId="22" borderId="12" xfId="0" applyNumberFormat="1" applyFont="1" applyFill="1" applyBorder="1" applyAlignment="1">
      <alignment horizontal="center" vertical="center" wrapText="1"/>
    </xf>
    <xf numFmtId="165" fontId="63" fillId="0" borderId="12" xfId="0" applyNumberFormat="1" applyFont="1" applyFill="1" applyBorder="1" applyAlignment="1">
      <alignment horizontal="center" vertical="center" wrapText="1"/>
    </xf>
    <xf numFmtId="165" fontId="64" fillId="0" borderId="12" xfId="0" applyNumberFormat="1" applyFont="1" applyFill="1" applyBorder="1" applyAlignment="1">
      <alignment horizontal="center" vertical="center" wrapText="1"/>
    </xf>
    <xf numFmtId="165" fontId="64" fillId="0" borderId="38" xfId="0" applyNumberFormat="1" applyFont="1" applyFill="1" applyBorder="1" applyAlignment="1">
      <alignment horizontal="center" vertical="center" wrapText="1"/>
    </xf>
    <xf numFmtId="165" fontId="63" fillId="0" borderId="38" xfId="0" applyNumberFormat="1" applyFont="1" applyFill="1" applyBorder="1" applyAlignment="1">
      <alignment horizontal="center" vertical="center" wrapText="1"/>
    </xf>
    <xf numFmtId="2" fontId="63" fillId="0" borderId="37" xfId="0" applyNumberFormat="1" applyFont="1" applyBorder="1" applyAlignment="1">
      <alignment horizontal="center" vertical="center" wrapText="1"/>
    </xf>
    <xf numFmtId="2" fontId="63" fillId="0" borderId="12" xfId="0" applyNumberFormat="1" applyFont="1" applyBorder="1" applyAlignment="1">
      <alignment horizontal="center" vertical="center" wrapText="1"/>
    </xf>
    <xf numFmtId="165" fontId="63" fillId="0" borderId="12" xfId="0" applyNumberFormat="1" applyFont="1" applyBorder="1" applyAlignment="1">
      <alignment horizontal="center" vertical="center" wrapText="1"/>
    </xf>
    <xf numFmtId="165" fontId="63" fillId="0" borderId="38" xfId="0" applyNumberFormat="1" applyFont="1" applyBorder="1" applyAlignment="1">
      <alignment horizontal="center" vertical="center" wrapText="1"/>
    </xf>
    <xf numFmtId="0" fontId="0" fillId="0" borderId="0" xfId="0" applyFill="1" applyBorder="1" applyAlignment="1"/>
    <xf numFmtId="0" fontId="22" fillId="0" borderId="0" xfId="0" applyFont="1" applyFill="1" applyBorder="1" applyAlignment="1">
      <alignment horizontal="center" vertical="center" wrapText="1"/>
    </xf>
    <xf numFmtId="165" fontId="13" fillId="0" borderId="0" xfId="0" applyNumberFormat="1" applyFont="1" applyFill="1" applyBorder="1" applyAlignment="1">
      <alignment horizontal="left" vertical="top" wrapText="1" indent="1"/>
    </xf>
    <xf numFmtId="165" fontId="5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165" fontId="13" fillId="0" borderId="0" xfId="0" applyNumberFormat="1" applyFont="1" applyFill="1" applyBorder="1" applyAlignment="1">
      <alignment horizontal="left" vertical="center"/>
    </xf>
    <xf numFmtId="165" fontId="9" fillId="0" borderId="0" xfId="0" applyNumberFormat="1" applyFont="1" applyFill="1" applyBorder="1" applyAlignment="1">
      <alignment horizontal="left" vertical="center"/>
    </xf>
    <xf numFmtId="165" fontId="56" fillId="0" borderId="0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vertical="center" wrapText="1"/>
    </xf>
    <xf numFmtId="165" fontId="4" fillId="0" borderId="0" xfId="0" applyNumberFormat="1" applyFont="1" applyFill="1" applyBorder="1" applyAlignment="1">
      <alignment vertical="center" wrapText="1"/>
    </xf>
    <xf numFmtId="0" fontId="48" fillId="0" borderId="0" xfId="0" applyFont="1" applyBorder="1" applyAlignment="1">
      <alignment vertical="center"/>
    </xf>
    <xf numFmtId="2" fontId="4" fillId="0" borderId="0" xfId="0" applyNumberFormat="1" applyFont="1" applyFill="1" applyBorder="1" applyAlignment="1">
      <alignment horizontal="center" vertical="center" wrapText="1"/>
    </xf>
    <xf numFmtId="0" fontId="22" fillId="19" borderId="10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22" fillId="27" borderId="58" xfId="0" applyFont="1" applyFill="1" applyBorder="1" applyAlignment="1">
      <alignment horizontal="center" vertical="center" wrapText="1"/>
    </xf>
    <xf numFmtId="0" fontId="22" fillId="27" borderId="46" xfId="0" applyFont="1" applyFill="1" applyBorder="1" applyAlignment="1">
      <alignment horizontal="center" vertical="center" wrapText="1"/>
    </xf>
    <xf numFmtId="0" fontId="22" fillId="27" borderId="47" xfId="0" applyFont="1" applyFill="1" applyBorder="1" applyAlignment="1">
      <alignment horizontal="center" vertical="center" wrapText="1"/>
    </xf>
    <xf numFmtId="0" fontId="22" fillId="0" borderId="62" xfId="0" applyFont="1" applyFill="1" applyBorder="1" applyAlignment="1">
      <alignment horizontal="center" vertical="center" wrapText="1"/>
    </xf>
    <xf numFmtId="165" fontId="4" fillId="0" borderId="38" xfId="0" applyNumberFormat="1" applyFont="1" applyBorder="1" applyAlignment="1">
      <alignment horizontal="center" wrapText="1"/>
    </xf>
    <xf numFmtId="165" fontId="4" fillId="0" borderId="39" xfId="0" applyNumberFormat="1" applyFont="1" applyBorder="1" applyAlignment="1">
      <alignment horizontal="center" wrapText="1"/>
    </xf>
    <xf numFmtId="0" fontId="43" fillId="0" borderId="0" xfId="0" applyFont="1" applyAlignment="1">
      <alignment horizontal="center"/>
    </xf>
    <xf numFmtId="165" fontId="56" fillId="0" borderId="0" xfId="0" applyNumberFormat="1" applyFont="1" applyFill="1" applyBorder="1" applyAlignment="1">
      <alignment vertical="center"/>
    </xf>
    <xf numFmtId="0" fontId="42" fillId="0" borderId="0" xfId="0" applyFont="1" applyFill="1" applyAlignment="1">
      <alignment horizontal="center" vertical="center"/>
    </xf>
    <xf numFmtId="165" fontId="68" fillId="0" borderId="0" xfId="0" applyNumberFormat="1" applyFont="1" applyFill="1" applyBorder="1" applyAlignment="1">
      <alignment horizontal="center" vertical="center"/>
    </xf>
    <xf numFmtId="0" fontId="0" fillId="29" borderId="98" xfId="0" applyFill="1" applyBorder="1"/>
    <xf numFmtId="165" fontId="56" fillId="29" borderId="0" xfId="0" applyNumberFormat="1" applyFont="1" applyFill="1" applyBorder="1" applyAlignment="1">
      <alignment horizontal="right" vertical="center"/>
    </xf>
    <xf numFmtId="165" fontId="56" fillId="29" borderId="0" xfId="0" applyNumberFormat="1" applyFont="1" applyFill="1" applyBorder="1" applyAlignment="1">
      <alignment vertical="center"/>
    </xf>
    <xf numFmtId="165" fontId="14" fillId="29" borderId="0" xfId="0" applyNumberFormat="1" applyFont="1" applyFill="1" applyBorder="1" applyAlignment="1">
      <alignment vertical="center"/>
    </xf>
    <xf numFmtId="165" fontId="56" fillId="29" borderId="99" xfId="0" applyNumberFormat="1" applyFont="1" applyFill="1" applyBorder="1" applyAlignment="1">
      <alignment vertical="center"/>
    </xf>
    <xf numFmtId="165" fontId="56" fillId="29" borderId="63" xfId="0" applyNumberFormat="1" applyFont="1" applyFill="1" applyBorder="1" applyAlignment="1">
      <alignment vertical="center"/>
    </xf>
    <xf numFmtId="165" fontId="56" fillId="29" borderId="97" xfId="0" applyNumberFormat="1" applyFont="1" applyFill="1" applyBorder="1" applyAlignment="1">
      <alignment vertical="center"/>
    </xf>
    <xf numFmtId="165" fontId="56" fillId="29" borderId="100" xfId="0" applyNumberFormat="1" applyFont="1" applyFill="1" applyBorder="1" applyAlignment="1">
      <alignment vertical="center"/>
    </xf>
    <xf numFmtId="0" fontId="2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1" fontId="4" fillId="0" borderId="0" xfId="0" applyNumberFormat="1" applyFont="1" applyFill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165" fontId="14" fillId="29" borderId="0" xfId="0" applyNumberFormat="1" applyFont="1" applyFill="1" applyBorder="1" applyAlignment="1">
      <alignment horizontal="center" vertical="center"/>
    </xf>
    <xf numFmtId="164" fontId="4" fillId="0" borderId="112" xfId="0" applyNumberFormat="1" applyFont="1" applyFill="1" applyBorder="1" applyAlignment="1">
      <alignment horizontal="center" vertical="center" wrapText="1"/>
    </xf>
    <xf numFmtId="164" fontId="4" fillId="0" borderId="113" xfId="0" applyNumberFormat="1" applyFont="1" applyFill="1" applyBorder="1" applyAlignment="1">
      <alignment horizontal="center" vertical="center" wrapText="1"/>
    </xf>
    <xf numFmtId="164" fontId="4" fillId="0" borderId="111" xfId="0" applyNumberFormat="1" applyFont="1" applyFill="1" applyBorder="1" applyAlignment="1">
      <alignment horizontal="center" vertical="center" wrapText="1"/>
    </xf>
    <xf numFmtId="164" fontId="4" fillId="0" borderId="114" xfId="0" applyNumberFormat="1" applyFont="1" applyFill="1" applyBorder="1" applyAlignment="1">
      <alignment horizontal="center" vertical="center" wrapText="1"/>
    </xf>
    <xf numFmtId="164" fontId="4" fillId="0" borderId="116" xfId="0" applyNumberFormat="1" applyFont="1" applyFill="1" applyBorder="1" applyAlignment="1">
      <alignment horizontal="center" vertical="center" wrapText="1"/>
    </xf>
    <xf numFmtId="164" fontId="4" fillId="0" borderId="115" xfId="0" applyNumberFormat="1" applyFont="1" applyFill="1" applyBorder="1" applyAlignment="1">
      <alignment horizontal="center" vertical="center" wrapText="1"/>
    </xf>
    <xf numFmtId="0" fontId="58" fillId="19" borderId="110" xfId="0" applyFont="1" applyFill="1" applyBorder="1" applyAlignment="1">
      <alignment horizontal="center" vertical="center" wrapText="1"/>
    </xf>
    <xf numFmtId="0" fontId="9" fillId="22" borderId="117" xfId="0" applyFont="1" applyFill="1" applyBorder="1" applyAlignment="1">
      <alignment horizontal="center" vertical="center"/>
    </xf>
    <xf numFmtId="164" fontId="4" fillId="0" borderId="118" xfId="0" applyNumberFormat="1" applyFont="1" applyFill="1" applyBorder="1" applyAlignment="1">
      <alignment horizontal="center" vertical="center" wrapText="1"/>
    </xf>
    <xf numFmtId="164" fontId="4" fillId="0" borderId="119" xfId="0" applyNumberFormat="1" applyFont="1" applyFill="1" applyBorder="1" applyAlignment="1">
      <alignment horizontal="center" vertical="center" wrapText="1"/>
    </xf>
    <xf numFmtId="0" fontId="22" fillId="27" borderId="45" xfId="0" applyFont="1" applyFill="1" applyBorder="1" applyAlignment="1">
      <alignment horizontal="center" vertical="center" wrapText="1"/>
    </xf>
    <xf numFmtId="164" fontId="4" fillId="0" borderId="120" xfId="0" applyNumberFormat="1" applyFont="1" applyFill="1" applyBorder="1" applyAlignment="1">
      <alignment horizontal="center" vertical="center" wrapText="1"/>
    </xf>
    <xf numFmtId="164" fontId="4" fillId="0" borderId="121" xfId="0" applyNumberFormat="1" applyFont="1" applyFill="1" applyBorder="1" applyAlignment="1">
      <alignment horizontal="center" vertical="center" wrapText="1"/>
    </xf>
    <xf numFmtId="164" fontId="4" fillId="0" borderId="76" xfId="0" applyNumberFormat="1" applyFont="1" applyFill="1" applyBorder="1" applyAlignment="1">
      <alignment horizontal="center" vertical="center" wrapText="1"/>
    </xf>
    <xf numFmtId="164" fontId="4" fillId="0" borderId="122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wrapText="1"/>
    </xf>
    <xf numFmtId="165" fontId="0" fillId="0" borderId="0" xfId="0" applyNumberFormat="1" applyFill="1" applyBorder="1" applyAlignment="1"/>
    <xf numFmtId="164" fontId="4" fillId="0" borderId="46" xfId="0" applyNumberFormat="1" applyFont="1" applyFill="1" applyBorder="1" applyAlignment="1">
      <alignment horizontal="center" vertical="center" wrapText="1"/>
    </xf>
    <xf numFmtId="164" fontId="4" fillId="0" borderId="109" xfId="0" applyNumberFormat="1" applyFont="1" applyFill="1" applyBorder="1" applyAlignment="1">
      <alignment horizontal="center" vertical="center" wrapText="1"/>
    </xf>
    <xf numFmtId="164" fontId="4" fillId="0" borderId="103" xfId="0" applyNumberFormat="1" applyFont="1" applyFill="1" applyBorder="1" applyAlignment="1">
      <alignment horizontal="center" vertical="center" wrapText="1"/>
    </xf>
    <xf numFmtId="164" fontId="4" fillId="0" borderId="47" xfId="0" applyNumberFormat="1" applyFont="1" applyFill="1" applyBorder="1" applyAlignment="1">
      <alignment horizontal="center" vertical="center" wrapText="1"/>
    </xf>
    <xf numFmtId="164" fontId="9" fillId="0" borderId="71" xfId="0" applyNumberFormat="1" applyFont="1" applyFill="1" applyBorder="1" applyAlignment="1">
      <alignment horizontal="center" vertical="center" wrapText="1"/>
    </xf>
    <xf numFmtId="164" fontId="9" fillId="0" borderId="50" xfId="0" applyNumberFormat="1" applyFont="1" applyFill="1" applyBorder="1" applyAlignment="1">
      <alignment horizontal="center" vertical="center" wrapText="1"/>
    </xf>
    <xf numFmtId="164" fontId="9" fillId="0" borderId="51" xfId="0" applyNumberFormat="1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22" borderId="123" xfId="0" applyFont="1" applyFill="1" applyBorder="1" applyAlignment="1">
      <alignment horizontal="center" vertical="center"/>
    </xf>
    <xf numFmtId="164" fontId="8" fillId="0" borderId="59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12" fillId="19" borderId="45" xfId="0" applyFont="1" applyFill="1" applyBorder="1" applyAlignment="1">
      <alignment horizontal="center" vertical="center" wrapText="1"/>
    </xf>
    <xf numFmtId="0" fontId="20" fillId="19" borderId="110" xfId="0" applyFont="1" applyFill="1" applyBorder="1" applyAlignment="1">
      <alignment horizontal="center" vertical="center" wrapText="1"/>
    </xf>
    <xf numFmtId="164" fontId="4" fillId="0" borderId="101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 wrapText="1"/>
    </xf>
    <xf numFmtId="0" fontId="50" fillId="0" borderId="0" xfId="0" applyFont="1" applyFill="1" applyBorder="1" applyAlignment="1">
      <alignment vertical="center" wrapText="1"/>
    </xf>
    <xf numFmtId="0" fontId="9" fillId="31" borderId="85" xfId="0" applyFont="1" applyFill="1" applyBorder="1" applyAlignment="1">
      <alignment vertical="center"/>
    </xf>
    <xf numFmtId="0" fontId="9" fillId="31" borderId="86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64" fontId="9" fillId="0" borderId="97" xfId="0" applyNumberFormat="1" applyFont="1" applyFill="1" applyBorder="1" applyAlignment="1">
      <alignment horizontal="center" vertical="center"/>
    </xf>
    <xf numFmtId="0" fontId="43" fillId="0" borderId="0" xfId="0" applyFont="1" applyBorder="1"/>
    <xf numFmtId="0" fontId="72" fillId="31" borderId="85" xfId="0" applyFont="1" applyFill="1" applyBorder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164" fontId="8" fillId="32" borderId="59" xfId="0" applyNumberFormat="1" applyFont="1" applyFill="1" applyBorder="1" applyAlignment="1">
      <alignment horizontal="center" vertical="center"/>
    </xf>
    <xf numFmtId="0" fontId="4" fillId="32" borderId="0" xfId="0" applyFont="1" applyFill="1" applyBorder="1" applyAlignment="1">
      <alignment horizontal="center" vertical="center"/>
    </xf>
    <xf numFmtId="164" fontId="9" fillId="28" borderId="60" xfId="0" applyNumberFormat="1" applyFont="1" applyFill="1" applyBorder="1" applyAlignment="1">
      <alignment horizontal="center" vertical="center"/>
    </xf>
    <xf numFmtId="0" fontId="9" fillId="32" borderId="0" xfId="0" applyFont="1" applyFill="1" applyBorder="1" applyAlignment="1">
      <alignment vertical="center"/>
    </xf>
    <xf numFmtId="0" fontId="9" fillId="28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8" borderId="0" xfId="0" applyFill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164" fontId="10" fillId="32" borderId="59" xfId="0" applyNumberFormat="1" applyFont="1" applyFill="1" applyBorder="1" applyAlignment="1">
      <alignment horizontal="center" vertical="center"/>
    </xf>
    <xf numFmtId="164" fontId="8" fillId="32" borderId="51" xfId="0" applyNumberFormat="1" applyFont="1" applyFill="1" applyBorder="1" applyAlignment="1">
      <alignment horizontal="center" vertical="center"/>
    </xf>
    <xf numFmtId="164" fontId="10" fillId="28" borderId="59" xfId="0" applyNumberFormat="1" applyFont="1" applyFill="1" applyBorder="1" applyAlignment="1">
      <alignment horizontal="center" vertical="center"/>
    </xf>
    <xf numFmtId="164" fontId="9" fillId="28" borderId="49" xfId="0" applyNumberFormat="1" applyFont="1" applyFill="1" applyBorder="1" applyAlignment="1">
      <alignment horizontal="center" vertical="center"/>
    </xf>
    <xf numFmtId="164" fontId="8" fillId="28" borderId="51" xfId="0" applyNumberFormat="1" applyFont="1" applyFill="1" applyBorder="1" applyAlignment="1">
      <alignment horizontal="center" vertical="center"/>
    </xf>
    <xf numFmtId="164" fontId="9" fillId="32" borderId="77" xfId="0" applyNumberFormat="1" applyFont="1" applyFill="1" applyBorder="1" applyAlignment="1">
      <alignment horizontal="center" vertical="center"/>
    </xf>
    <xf numFmtId="165" fontId="9" fillId="32" borderId="77" xfId="0" applyNumberFormat="1" applyFont="1" applyFill="1" applyBorder="1" applyAlignment="1">
      <alignment horizontal="center" vertical="center"/>
    </xf>
    <xf numFmtId="0" fontId="8" fillId="32" borderId="71" xfId="0" applyFont="1" applyFill="1" applyBorder="1" applyAlignment="1">
      <alignment horizontal="center" vertical="center"/>
    </xf>
    <xf numFmtId="0" fontId="9" fillId="32" borderId="59" xfId="0" applyFont="1" applyFill="1" applyBorder="1" applyAlignment="1">
      <alignment horizontal="center" vertical="center"/>
    </xf>
    <xf numFmtId="164" fontId="9" fillId="28" borderId="120" xfId="0" applyNumberFormat="1" applyFont="1" applyFill="1" applyBorder="1" applyAlignment="1">
      <alignment horizontal="center" vertical="center"/>
    </xf>
    <xf numFmtId="0" fontId="4" fillId="33" borderId="61" xfId="0" applyFont="1" applyFill="1" applyBorder="1" applyAlignment="1" applyProtection="1">
      <alignment horizontal="center" vertical="center"/>
      <protection locked="0"/>
    </xf>
    <xf numFmtId="165" fontId="4" fillId="33" borderId="60" xfId="0" applyNumberFormat="1" applyFont="1" applyFill="1" applyBorder="1" applyAlignment="1" applyProtection="1">
      <alignment horizontal="center" vertical="center"/>
      <protection locked="0"/>
    </xf>
    <xf numFmtId="0" fontId="8" fillId="28" borderId="71" xfId="0" applyFont="1" applyFill="1" applyBorder="1" applyAlignment="1">
      <alignment horizontal="center" vertical="center"/>
    </xf>
    <xf numFmtId="0" fontId="9" fillId="28" borderId="59" xfId="0" applyFont="1" applyFill="1" applyBorder="1" applyAlignment="1">
      <alignment horizontal="center" vertical="center"/>
    </xf>
    <xf numFmtId="165" fontId="9" fillId="28" borderId="77" xfId="0" applyNumberFormat="1" applyFont="1" applyFill="1" applyBorder="1" applyAlignment="1">
      <alignment horizontal="center" vertical="center"/>
    </xf>
    <xf numFmtId="165" fontId="4" fillId="33" borderId="77" xfId="0" applyNumberFormat="1" applyFont="1" applyFill="1" applyBorder="1" applyAlignment="1" applyProtection="1">
      <alignment horizontal="center" vertical="center"/>
      <protection locked="0"/>
    </xf>
    <xf numFmtId="165" fontId="4" fillId="33" borderId="61" xfId="0" applyNumberFormat="1" applyFont="1" applyFill="1" applyBorder="1" applyAlignment="1" applyProtection="1">
      <alignment horizontal="center" vertical="center"/>
      <protection locked="0"/>
    </xf>
    <xf numFmtId="164" fontId="9" fillId="32" borderId="85" xfId="0" applyNumberFormat="1" applyFont="1" applyFill="1" applyBorder="1" applyAlignment="1">
      <alignment horizontal="center" vertical="center"/>
    </xf>
    <xf numFmtId="164" fontId="9" fillId="32" borderId="97" xfId="0" applyNumberFormat="1" applyFont="1" applyFill="1" applyBorder="1" applyAlignment="1">
      <alignment horizontal="center" vertical="center"/>
    </xf>
    <xf numFmtId="0" fontId="43" fillId="0" borderId="98" xfId="0" applyFont="1" applyBorder="1"/>
    <xf numFmtId="0" fontId="43" fillId="0" borderId="99" xfId="0" applyFont="1" applyBorder="1"/>
    <xf numFmtId="0" fontId="0" fillId="32" borderId="98" xfId="0" applyFill="1" applyBorder="1" applyAlignment="1">
      <alignment vertical="center"/>
    </xf>
    <xf numFmtId="0" fontId="0" fillId="32" borderId="0" xfId="0" applyFill="1" applyBorder="1" applyAlignment="1">
      <alignment vertical="center"/>
    </xf>
    <xf numFmtId="0" fontId="0" fillId="28" borderId="99" xfId="0" applyFill="1" applyBorder="1" applyAlignment="1">
      <alignment vertical="center"/>
    </xf>
    <xf numFmtId="0" fontId="9" fillId="28" borderId="99" xfId="0" applyFont="1" applyFill="1" applyBorder="1" applyAlignment="1">
      <alignment vertical="center"/>
    </xf>
    <xf numFmtId="0" fontId="9" fillId="32" borderId="98" xfId="0" applyFont="1" applyFill="1" applyBorder="1" applyAlignment="1">
      <alignment vertical="center"/>
    </xf>
    <xf numFmtId="0" fontId="0" fillId="32" borderId="63" xfId="0" applyFill="1" applyBorder="1" applyAlignment="1">
      <alignment vertical="center"/>
    </xf>
    <xf numFmtId="0" fontId="0" fillId="32" borderId="97" xfId="0" applyFill="1" applyBorder="1" applyAlignment="1">
      <alignment vertical="center"/>
    </xf>
    <xf numFmtId="0" fontId="0" fillId="28" borderId="97" xfId="0" applyFill="1" applyBorder="1" applyAlignment="1">
      <alignment vertical="center"/>
    </xf>
    <xf numFmtId="0" fontId="0" fillId="28" borderId="100" xfId="0" applyFill="1" applyBorder="1" applyAlignment="1">
      <alignment vertical="center"/>
    </xf>
    <xf numFmtId="0" fontId="0" fillId="32" borderId="99" xfId="0" applyFill="1" applyBorder="1" applyAlignment="1">
      <alignment vertical="center"/>
    </xf>
    <xf numFmtId="164" fontId="4" fillId="32" borderId="99" xfId="0" applyNumberFormat="1" applyFont="1" applyFill="1" applyBorder="1" applyAlignment="1">
      <alignment horizontal="center" vertical="center"/>
    </xf>
    <xf numFmtId="0" fontId="9" fillId="32" borderId="99" xfId="0" applyFont="1" applyFill="1" applyBorder="1" applyAlignment="1">
      <alignment vertical="center"/>
    </xf>
    <xf numFmtId="0" fontId="0" fillId="32" borderId="100" xfId="0" applyFill="1" applyBorder="1" applyAlignment="1">
      <alignment vertical="center"/>
    </xf>
    <xf numFmtId="0" fontId="0" fillId="28" borderId="98" xfId="0" applyFill="1" applyBorder="1" applyAlignment="1">
      <alignment vertical="center"/>
    </xf>
    <xf numFmtId="0" fontId="9" fillId="28" borderId="98" xfId="0" applyFont="1" applyFill="1" applyBorder="1" applyAlignment="1">
      <alignment vertical="center"/>
    </xf>
    <xf numFmtId="0" fontId="0" fillId="28" borderId="63" xfId="0" applyFill="1" applyBorder="1" applyAlignment="1">
      <alignment vertical="center"/>
    </xf>
    <xf numFmtId="0" fontId="12" fillId="0" borderId="0" xfId="0" applyFont="1" applyFill="1" applyBorder="1" applyAlignment="1">
      <alignment vertical="center" wrapText="1"/>
    </xf>
    <xf numFmtId="0" fontId="9" fillId="36" borderId="95" xfId="0" applyNumberFormat="1" applyFont="1" applyFill="1" applyBorder="1" applyAlignment="1">
      <alignment horizontal="right" vertical="center" wrapText="1"/>
    </xf>
    <xf numFmtId="0" fontId="9" fillId="36" borderId="90" xfId="0" applyNumberFormat="1" applyFont="1" applyFill="1" applyBorder="1" applyAlignment="1">
      <alignment horizontal="right" vertical="center" wrapText="1"/>
    </xf>
    <xf numFmtId="0" fontId="8" fillId="30" borderId="35" xfId="0" applyFont="1" applyFill="1" applyBorder="1" applyAlignment="1">
      <alignment horizontal="center" vertical="center"/>
    </xf>
    <xf numFmtId="165" fontId="9" fillId="36" borderId="68" xfId="0" applyNumberFormat="1" applyFont="1" applyFill="1" applyBorder="1" applyAlignment="1">
      <alignment horizontal="left" vertical="center" wrapText="1"/>
    </xf>
    <xf numFmtId="165" fontId="9" fillId="36" borderId="91" xfId="0" applyNumberFormat="1" applyFont="1" applyFill="1" applyBorder="1" applyAlignment="1">
      <alignment horizontal="left" vertical="center" wrapText="1"/>
    </xf>
    <xf numFmtId="0" fontId="8" fillId="18" borderId="102" xfId="0" applyFont="1" applyFill="1" applyBorder="1" applyAlignment="1">
      <alignment horizontal="center" vertical="center" wrapText="1"/>
    </xf>
    <xf numFmtId="0" fontId="9" fillId="18" borderId="21" xfId="0" applyFont="1" applyFill="1" applyBorder="1" applyAlignment="1">
      <alignment horizontal="center" wrapText="1"/>
    </xf>
    <xf numFmtId="0" fontId="9" fillId="18" borderId="34" xfId="0" applyFont="1" applyFill="1" applyBorder="1" applyAlignment="1">
      <alignment horizontal="center" wrapText="1"/>
    </xf>
    <xf numFmtId="0" fontId="8" fillId="18" borderId="21" xfId="0" applyFont="1" applyFill="1" applyBorder="1" applyAlignment="1">
      <alignment horizontal="center" vertical="center" wrapText="1"/>
    </xf>
    <xf numFmtId="164" fontId="4" fillId="0" borderId="96" xfId="0" applyNumberFormat="1" applyFont="1" applyFill="1" applyBorder="1" applyAlignment="1">
      <alignment horizontal="center" vertical="center" wrapText="1"/>
    </xf>
    <xf numFmtId="0" fontId="22" fillId="19" borderId="35" xfId="0" applyFont="1" applyFill="1" applyBorder="1" applyAlignment="1">
      <alignment horizontal="center" vertical="center" wrapText="1"/>
    </xf>
    <xf numFmtId="0" fontId="78" fillId="27" borderId="129" xfId="0" applyFont="1" applyFill="1" applyBorder="1" applyAlignment="1">
      <alignment horizontal="center" vertical="center" wrapText="1"/>
    </xf>
    <xf numFmtId="0" fontId="9" fillId="36" borderId="124" xfId="0" applyNumberFormat="1" applyFont="1" applyFill="1" applyBorder="1" applyAlignment="1">
      <alignment horizontal="right" vertical="center" wrapText="1"/>
    </xf>
    <xf numFmtId="165" fontId="4" fillId="0" borderId="0" xfId="0" applyNumberFormat="1" applyFont="1" applyFill="1" applyBorder="1" applyAlignment="1" applyProtection="1">
      <alignment horizontal="center" vertical="center"/>
      <protection locked="0"/>
    </xf>
    <xf numFmtId="165" fontId="9" fillId="36" borderId="67" xfId="0" applyNumberFormat="1" applyFont="1" applyFill="1" applyBorder="1" applyAlignment="1">
      <alignment horizontal="left" vertical="center" wrapText="1"/>
    </xf>
    <xf numFmtId="0" fontId="0" fillId="0" borderId="98" xfId="0" applyFill="1" applyBorder="1" applyAlignment="1">
      <alignment vertical="center"/>
    </xf>
    <xf numFmtId="0" fontId="0" fillId="0" borderId="99" xfId="0" applyFill="1" applyBorder="1" applyAlignment="1">
      <alignment vertical="center"/>
    </xf>
    <xf numFmtId="0" fontId="9" fillId="0" borderId="99" xfId="0" applyFont="1" applyFill="1" applyBorder="1" applyAlignment="1">
      <alignment vertical="center"/>
    </xf>
    <xf numFmtId="164" fontId="9" fillId="0" borderId="85" xfId="0" applyNumberFormat="1" applyFont="1" applyFill="1" applyBorder="1" applyAlignment="1">
      <alignment horizontal="center" vertical="center"/>
    </xf>
    <xf numFmtId="164" fontId="8" fillId="0" borderId="51" xfId="0" applyNumberFormat="1" applyFont="1" applyFill="1" applyBorder="1" applyAlignment="1">
      <alignment horizontal="center" vertical="center"/>
    </xf>
    <xf numFmtId="0" fontId="8" fillId="0" borderId="71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 vertical="center"/>
    </xf>
    <xf numFmtId="165" fontId="9" fillId="0" borderId="77" xfId="0" applyNumberFormat="1" applyFont="1" applyFill="1" applyBorder="1" applyAlignment="1">
      <alignment horizontal="center" vertical="center"/>
    </xf>
    <xf numFmtId="164" fontId="8" fillId="0" borderId="99" xfId="0" applyNumberFormat="1" applyFont="1" applyFill="1" applyBorder="1" applyAlignment="1">
      <alignment horizontal="center" vertical="center"/>
    </xf>
    <xf numFmtId="164" fontId="9" fillId="0" borderId="99" xfId="0" applyNumberFormat="1" applyFont="1" applyFill="1" applyBorder="1" applyAlignment="1">
      <alignment horizontal="center" vertical="center"/>
    </xf>
    <xf numFmtId="0" fontId="9" fillId="0" borderId="99" xfId="0" applyFont="1" applyFill="1" applyBorder="1" applyAlignment="1">
      <alignment horizontal="center" vertical="center"/>
    </xf>
    <xf numFmtId="165" fontId="9" fillId="0" borderId="99" xfId="0" applyNumberFormat="1" applyFont="1" applyFill="1" applyBorder="1" applyAlignment="1">
      <alignment horizontal="center" vertical="center"/>
    </xf>
    <xf numFmtId="0" fontId="43" fillId="0" borderId="99" xfId="0" applyFont="1" applyFill="1" applyBorder="1"/>
    <xf numFmtId="0" fontId="48" fillId="0" borderId="98" xfId="0" applyFont="1" applyBorder="1" applyAlignment="1">
      <alignment horizontal="center" vertical="top"/>
    </xf>
    <xf numFmtId="0" fontId="0" fillId="0" borderId="99" xfId="0" applyBorder="1" applyAlignment="1">
      <alignment vertical="top"/>
    </xf>
    <xf numFmtId="0" fontId="0" fillId="0" borderId="100" xfId="0" applyBorder="1"/>
    <xf numFmtId="0" fontId="43" fillId="0" borderId="87" xfId="0" applyFont="1" applyBorder="1"/>
    <xf numFmtId="0" fontId="43" fillId="0" borderId="88" xfId="0" applyFont="1" applyBorder="1"/>
    <xf numFmtId="0" fontId="0" fillId="0" borderId="63" xfId="0" applyBorder="1" applyAlignment="1">
      <alignment horizontal="center" vertical="center"/>
    </xf>
    <xf numFmtId="0" fontId="0" fillId="0" borderId="97" xfId="0" applyBorder="1"/>
    <xf numFmtId="2" fontId="0" fillId="0" borderId="97" xfId="0" applyNumberFormat="1" applyBorder="1" applyAlignment="1">
      <alignment horizontal="center" vertical="center"/>
    </xf>
    <xf numFmtId="2" fontId="0" fillId="0" borderId="59" xfId="0" applyNumberFormat="1" applyBorder="1" applyAlignment="1">
      <alignment horizontal="center" vertical="center"/>
    </xf>
    <xf numFmtId="0" fontId="4" fillId="31" borderId="59" xfId="0" applyFont="1" applyFill="1" applyBorder="1" applyAlignment="1">
      <alignment horizontal="center" vertical="center"/>
    </xf>
    <xf numFmtId="164" fontId="9" fillId="0" borderId="79" xfId="0" applyNumberFormat="1" applyFont="1" applyBorder="1" applyAlignment="1">
      <alignment horizontal="center" vertical="center"/>
    </xf>
    <xf numFmtId="164" fontId="9" fillId="0" borderId="80" xfId="0" applyNumberFormat="1" applyFont="1" applyBorder="1" applyAlignment="1">
      <alignment horizontal="center" vertical="center"/>
    </xf>
    <xf numFmtId="164" fontId="9" fillId="0" borderId="81" xfId="0" applyNumberFormat="1" applyFont="1" applyBorder="1" applyAlignment="1">
      <alignment horizontal="center" vertical="center"/>
    </xf>
    <xf numFmtId="165" fontId="4" fillId="33" borderId="76" xfId="0" applyNumberFormat="1" applyFont="1" applyFill="1" applyBorder="1" applyAlignment="1" applyProtection="1">
      <alignment horizontal="center" vertical="center"/>
      <protection locked="0"/>
    </xf>
    <xf numFmtId="0" fontId="4" fillId="33" borderId="59" xfId="0" applyFont="1" applyFill="1" applyBorder="1" applyAlignment="1" applyProtection="1">
      <alignment horizontal="center" vertical="center"/>
      <protection locked="0"/>
    </xf>
    <xf numFmtId="0" fontId="9" fillId="33" borderId="61" xfId="0" applyFont="1" applyFill="1" applyBorder="1" applyAlignment="1" applyProtection="1">
      <alignment horizontal="center" vertical="center"/>
      <protection locked="0"/>
    </xf>
    <xf numFmtId="0" fontId="9" fillId="33" borderId="60" xfId="0" applyFont="1" applyFill="1" applyBorder="1" applyAlignment="1" applyProtection="1">
      <alignment horizontal="center" vertical="center"/>
      <protection locked="0"/>
    </xf>
    <xf numFmtId="0" fontId="9" fillId="0" borderId="51" xfId="0" applyFont="1" applyBorder="1" applyAlignment="1">
      <alignment horizontal="center" vertical="center"/>
    </xf>
    <xf numFmtId="2" fontId="9" fillId="0" borderId="77" xfId="0" applyNumberFormat="1" applyFont="1" applyFill="1" applyBorder="1" applyAlignment="1">
      <alignment horizontal="center" vertical="center"/>
    </xf>
    <xf numFmtId="0" fontId="4" fillId="33" borderId="76" xfId="0" applyFont="1" applyFill="1" applyBorder="1" applyAlignment="1" applyProtection="1">
      <alignment horizontal="center" vertical="center"/>
      <protection locked="0"/>
    </xf>
    <xf numFmtId="0" fontId="4" fillId="0" borderId="77" xfId="0" applyFont="1" applyFill="1" applyBorder="1" applyAlignment="1" applyProtection="1">
      <alignment horizontal="center" vertical="center"/>
    </xf>
    <xf numFmtId="0" fontId="4" fillId="33" borderId="63" xfId="0" applyFont="1" applyFill="1" applyBorder="1" applyAlignment="1" applyProtection="1">
      <alignment horizontal="center" vertical="center"/>
      <protection locked="0"/>
    </xf>
    <xf numFmtId="164" fontId="9" fillId="0" borderId="77" xfId="0" applyNumberFormat="1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center"/>
    </xf>
    <xf numFmtId="2" fontId="4" fillId="33" borderId="61" xfId="0" applyNumberFormat="1" applyFont="1" applyFill="1" applyBorder="1" applyAlignment="1" applyProtection="1">
      <alignment horizontal="center" vertical="center"/>
      <protection locked="0"/>
    </xf>
    <xf numFmtId="2" fontId="4" fillId="33" borderId="76" xfId="0" applyNumberFormat="1" applyFont="1" applyFill="1" applyBorder="1" applyAlignment="1" applyProtection="1">
      <alignment horizontal="center" vertical="center"/>
      <protection locked="0"/>
    </xf>
    <xf numFmtId="0" fontId="41" fillId="0" borderId="21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0" fillId="29" borderId="21" xfId="0" applyFill="1" applyBorder="1"/>
    <xf numFmtId="165" fontId="56" fillId="29" borderId="40" xfId="0" applyNumberFormat="1" applyFont="1" applyFill="1" applyBorder="1" applyAlignment="1">
      <alignment vertical="center"/>
    </xf>
    <xf numFmtId="165" fontId="56" fillId="29" borderId="131" xfId="0" applyNumberFormat="1" applyFont="1" applyFill="1" applyBorder="1" applyAlignment="1">
      <alignment vertical="center"/>
    </xf>
    <xf numFmtId="165" fontId="56" fillId="29" borderId="132" xfId="0" applyNumberFormat="1" applyFont="1" applyFill="1" applyBorder="1" applyAlignment="1">
      <alignment vertical="center"/>
    </xf>
    <xf numFmtId="165" fontId="56" fillId="0" borderId="21" xfId="0" applyNumberFormat="1" applyFont="1" applyFill="1" applyBorder="1" applyAlignment="1">
      <alignment vertical="center"/>
    </xf>
    <xf numFmtId="165" fontId="56" fillId="0" borderId="40" xfId="0" applyNumberFormat="1" applyFont="1" applyFill="1" applyBorder="1" applyAlignment="1">
      <alignment vertical="center"/>
    </xf>
    <xf numFmtId="0" fontId="0" fillId="0" borderId="21" xfId="0" applyBorder="1"/>
    <xf numFmtId="0" fontId="42" fillId="0" borderId="21" xfId="0" applyFont="1" applyBorder="1" applyAlignment="1">
      <alignment horizontal="center" vertical="center"/>
    </xf>
    <xf numFmtId="165" fontId="68" fillId="0" borderId="21" xfId="0" applyNumberFormat="1" applyFont="1" applyFill="1" applyBorder="1" applyAlignment="1">
      <alignment horizontal="center" vertical="center"/>
    </xf>
    <xf numFmtId="165" fontId="68" fillId="0" borderId="40" xfId="0" applyNumberFormat="1" applyFont="1" applyFill="1" applyBorder="1" applyAlignment="1">
      <alignment horizontal="center" vertical="center"/>
    </xf>
    <xf numFmtId="0" fontId="42" fillId="0" borderId="102" xfId="0" applyFont="1" applyBorder="1" applyAlignment="1">
      <alignment horizontal="center" vertical="center"/>
    </xf>
    <xf numFmtId="0" fontId="42" fillId="0" borderId="96" xfId="0" applyFont="1" applyBorder="1" applyAlignment="1">
      <alignment horizontal="center" vertical="center"/>
    </xf>
    <xf numFmtId="0" fontId="42" fillId="0" borderId="133" xfId="0" applyFont="1" applyBorder="1" applyAlignment="1">
      <alignment horizontal="center" vertical="center"/>
    </xf>
    <xf numFmtId="0" fontId="0" fillId="0" borderId="97" xfId="0" applyFill="1" applyBorder="1" applyAlignment="1">
      <alignment vertical="center"/>
    </xf>
    <xf numFmtId="164" fontId="8" fillId="0" borderId="97" xfId="0" applyNumberFormat="1" applyFont="1" applyFill="1" applyBorder="1" applyAlignment="1">
      <alignment horizontal="center" vertical="center"/>
    </xf>
    <xf numFmtId="165" fontId="4" fillId="0" borderId="97" xfId="0" applyNumberFormat="1" applyFont="1" applyFill="1" applyBorder="1" applyAlignment="1">
      <alignment horizontal="center" vertical="center"/>
    </xf>
    <xf numFmtId="164" fontId="4" fillId="0" borderId="40" xfId="0" applyNumberFormat="1" applyFont="1" applyFill="1" applyBorder="1" applyAlignment="1">
      <alignment horizontal="center" vertical="center" wrapText="1"/>
    </xf>
    <xf numFmtId="0" fontId="8" fillId="0" borderId="21" xfId="0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0" fillId="0" borderId="89" xfId="0" applyFill="1" applyBorder="1" applyAlignment="1">
      <alignment vertical="center"/>
    </xf>
    <xf numFmtId="0" fontId="43" fillId="0" borderId="98" xfId="0" applyFont="1" applyFill="1" applyBorder="1"/>
    <xf numFmtId="165" fontId="0" fillId="0" borderId="0" xfId="0" applyNumberFormat="1"/>
    <xf numFmtId="165" fontId="7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165" fontId="9" fillId="34" borderId="127" xfId="0" applyNumberFormat="1" applyFont="1" applyFill="1" applyBorder="1" applyAlignment="1">
      <alignment horizontal="center" vertical="center"/>
    </xf>
    <xf numFmtId="165" fontId="9" fillId="34" borderId="54" xfId="0" applyNumberFormat="1" applyFont="1" applyFill="1" applyBorder="1" applyAlignment="1">
      <alignment horizontal="center" vertical="center"/>
    </xf>
    <xf numFmtId="165" fontId="9" fillId="34" borderId="92" xfId="0" applyNumberFormat="1" applyFont="1" applyFill="1" applyBorder="1" applyAlignment="1">
      <alignment horizontal="center" vertical="center"/>
    </xf>
    <xf numFmtId="0" fontId="43" fillId="0" borderId="0" xfId="0" applyFont="1" applyAlignment="1"/>
    <xf numFmtId="165" fontId="14" fillId="0" borderId="0" xfId="0" applyNumberFormat="1" applyFont="1" applyFill="1" applyBorder="1" applyAlignment="1">
      <alignment vertical="center"/>
    </xf>
    <xf numFmtId="165" fontId="68" fillId="0" borderId="0" xfId="0" applyNumberFormat="1" applyFont="1" applyFill="1" applyBorder="1" applyAlignment="1">
      <alignment vertical="center"/>
    </xf>
    <xf numFmtId="0" fontId="43" fillId="29" borderId="87" xfId="0" applyFont="1" applyFill="1" applyBorder="1"/>
    <xf numFmtId="165" fontId="14" fillId="29" borderId="88" xfId="0" applyNumberFormat="1" applyFont="1" applyFill="1" applyBorder="1" applyAlignment="1">
      <alignment vertical="center"/>
    </xf>
    <xf numFmtId="165" fontId="14" fillId="29" borderId="89" xfId="0" applyNumberFormat="1" applyFont="1" applyFill="1" applyBorder="1" applyAlignment="1">
      <alignment vertical="center"/>
    </xf>
    <xf numFmtId="0" fontId="50" fillId="0" borderId="0" xfId="0" applyFont="1" applyFill="1" applyBorder="1" applyAlignment="1">
      <alignment vertical="center"/>
    </xf>
    <xf numFmtId="0" fontId="83" fillId="0" borderId="0" xfId="0" applyFont="1" applyFill="1" applyBorder="1" applyAlignment="1">
      <alignment vertical="center"/>
    </xf>
    <xf numFmtId="0" fontId="85" fillId="0" borderId="0" xfId="0" applyFont="1" applyFill="1" applyBorder="1" applyAlignment="1">
      <alignment vertical="center"/>
    </xf>
    <xf numFmtId="165" fontId="9" fillId="37" borderId="126" xfId="0" applyNumberFormat="1" applyFont="1" applyFill="1" applyBorder="1" applyAlignment="1">
      <alignment horizontal="center" vertical="center" wrapText="1"/>
    </xf>
    <xf numFmtId="165" fontId="9" fillId="37" borderId="95" xfId="0" applyNumberFormat="1" applyFont="1" applyFill="1" applyBorder="1" applyAlignment="1">
      <alignment horizontal="center" vertical="center" wrapText="1"/>
    </xf>
    <xf numFmtId="165" fontId="9" fillId="37" borderId="90" xfId="0" applyNumberFormat="1" applyFont="1" applyFill="1" applyBorder="1" applyAlignment="1">
      <alignment horizontal="center" vertical="center" wrapText="1"/>
    </xf>
    <xf numFmtId="164" fontId="0" fillId="0" borderId="0" xfId="0" applyNumberFormat="1" applyBorder="1"/>
    <xf numFmtId="164" fontId="0" fillId="0" borderId="40" xfId="0" applyNumberFormat="1" applyBorder="1"/>
    <xf numFmtId="0" fontId="9" fillId="28" borderId="98" xfId="0" applyFont="1" applyFill="1" applyBorder="1" applyAlignment="1">
      <alignment horizontal="center" vertical="center"/>
    </xf>
    <xf numFmtId="0" fontId="9" fillId="28" borderId="0" xfId="0" applyFont="1" applyFill="1" applyBorder="1" applyAlignment="1">
      <alignment horizontal="center" vertical="center"/>
    </xf>
    <xf numFmtId="0" fontId="9" fillId="28" borderId="99" xfId="0" applyFont="1" applyFill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top"/>
    </xf>
    <xf numFmtId="0" fontId="46" fillId="24" borderId="87" xfId="0" applyFont="1" applyFill="1" applyBorder="1" applyAlignment="1">
      <alignment horizontal="center" vertical="center" wrapText="1"/>
    </xf>
    <xf numFmtId="0" fontId="46" fillId="24" borderId="88" xfId="0" applyFont="1" applyFill="1" applyBorder="1" applyAlignment="1">
      <alignment horizontal="center" vertical="center" wrapText="1"/>
    </xf>
    <xf numFmtId="0" fontId="46" fillId="24" borderId="89" xfId="0" applyFont="1" applyFill="1" applyBorder="1" applyAlignment="1">
      <alignment horizontal="center" vertical="center" wrapText="1"/>
    </xf>
    <xf numFmtId="0" fontId="46" fillId="24" borderId="98" xfId="0" applyFont="1" applyFill="1" applyBorder="1" applyAlignment="1">
      <alignment horizontal="center" vertical="center" wrapText="1"/>
    </xf>
    <xf numFmtId="0" fontId="46" fillId="24" borderId="0" xfId="0" applyFont="1" applyFill="1" applyBorder="1" applyAlignment="1">
      <alignment horizontal="center" vertical="center" wrapText="1"/>
    </xf>
    <xf numFmtId="0" fontId="46" fillId="24" borderId="99" xfId="0" applyFont="1" applyFill="1" applyBorder="1" applyAlignment="1">
      <alignment horizontal="center" vertical="center" wrapText="1"/>
    </xf>
    <xf numFmtId="0" fontId="50" fillId="0" borderId="131" xfId="0" applyFont="1" applyFill="1" applyBorder="1" applyAlignment="1">
      <alignment horizontal="center" vertical="center"/>
    </xf>
    <xf numFmtId="0" fontId="50" fillId="0" borderId="97" xfId="0" applyFont="1" applyFill="1" applyBorder="1" applyAlignment="1">
      <alignment horizontal="center" vertical="center"/>
    </xf>
    <xf numFmtId="0" fontId="50" fillId="0" borderId="132" xfId="0" applyFont="1" applyFill="1" applyBorder="1" applyAlignment="1">
      <alignment horizontal="center" vertical="center"/>
    </xf>
    <xf numFmtId="165" fontId="14" fillId="29" borderId="21" xfId="0" applyNumberFormat="1" applyFont="1" applyFill="1" applyBorder="1" applyAlignment="1">
      <alignment horizontal="center" vertical="center"/>
    </xf>
    <xf numFmtId="165" fontId="14" fillId="29" borderId="0" xfId="0" applyNumberFormat="1" applyFont="1" applyFill="1" applyBorder="1" applyAlignment="1">
      <alignment horizontal="center" vertical="center"/>
    </xf>
    <xf numFmtId="165" fontId="14" fillId="29" borderId="40" xfId="0" applyNumberFormat="1" applyFont="1" applyFill="1" applyBorder="1" applyAlignment="1">
      <alignment horizontal="center" vertical="center"/>
    </xf>
    <xf numFmtId="165" fontId="68" fillId="29" borderId="131" xfId="0" applyNumberFormat="1" applyFont="1" applyFill="1" applyBorder="1" applyAlignment="1">
      <alignment horizontal="center" vertical="center"/>
    </xf>
    <xf numFmtId="165" fontId="68" fillId="29" borderId="97" xfId="0" applyNumberFormat="1" applyFont="1" applyFill="1" applyBorder="1" applyAlignment="1">
      <alignment horizontal="center" vertical="center"/>
    </xf>
    <xf numFmtId="165" fontId="68" fillId="29" borderId="132" xfId="0" applyNumberFormat="1" applyFont="1" applyFill="1" applyBorder="1" applyAlignment="1">
      <alignment horizontal="center" vertical="center"/>
    </xf>
    <xf numFmtId="0" fontId="87" fillId="0" borderId="0" xfId="0" applyFont="1" applyFill="1" applyBorder="1" applyAlignment="1">
      <alignment horizontal="center" vertical="top"/>
    </xf>
    <xf numFmtId="0" fontId="83" fillId="25" borderId="103" xfId="0" applyFont="1" applyFill="1" applyBorder="1" applyAlignment="1">
      <alignment horizontal="center" vertical="center"/>
    </xf>
    <xf numFmtId="0" fontId="83" fillId="25" borderId="46" xfId="0" applyFont="1" applyFill="1" applyBorder="1" applyAlignment="1">
      <alignment horizontal="center" vertical="center"/>
    </xf>
    <xf numFmtId="0" fontId="83" fillId="25" borderId="47" xfId="0" applyFont="1" applyFill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82" xfId="0" applyFont="1" applyBorder="1" applyAlignment="1">
      <alignment horizontal="center" vertical="center"/>
    </xf>
    <xf numFmtId="0" fontId="47" fillId="24" borderId="63" xfId="0" applyFont="1" applyFill="1" applyBorder="1" applyAlignment="1">
      <alignment horizontal="center" vertical="center" wrapText="1"/>
    </xf>
    <xf numFmtId="0" fontId="47" fillId="24" borderId="97" xfId="0" applyFont="1" applyFill="1" applyBorder="1" applyAlignment="1">
      <alignment horizontal="center" vertical="center" wrapText="1"/>
    </xf>
    <xf numFmtId="0" fontId="47" fillId="24" borderId="100" xfId="0" applyFont="1" applyFill="1" applyBorder="1" applyAlignment="1">
      <alignment horizontal="center" vertical="center" wrapText="1"/>
    </xf>
    <xf numFmtId="0" fontId="50" fillId="24" borderId="87" xfId="0" applyFont="1" applyFill="1" applyBorder="1" applyAlignment="1">
      <alignment horizontal="center" vertical="center" wrapText="1"/>
    </xf>
    <xf numFmtId="0" fontId="50" fillId="24" borderId="88" xfId="0" applyFont="1" applyFill="1" applyBorder="1" applyAlignment="1">
      <alignment horizontal="center" vertical="center" wrapText="1"/>
    </xf>
    <xf numFmtId="0" fontId="50" fillId="24" borderId="89" xfId="0" applyFont="1" applyFill="1" applyBorder="1" applyAlignment="1">
      <alignment horizontal="center" vertical="center" wrapText="1"/>
    </xf>
    <xf numFmtId="0" fontId="50" fillId="24" borderId="63" xfId="0" applyFont="1" applyFill="1" applyBorder="1" applyAlignment="1">
      <alignment horizontal="center" vertical="center" wrapText="1"/>
    </xf>
    <xf numFmtId="0" fontId="50" fillId="24" borderId="97" xfId="0" applyFont="1" applyFill="1" applyBorder="1" applyAlignment="1">
      <alignment horizontal="center" vertical="center" wrapText="1"/>
    </xf>
    <xf numFmtId="0" fontId="50" fillId="24" borderId="10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165" fontId="4" fillId="0" borderId="0" xfId="0" applyNumberFormat="1" applyFont="1" applyFill="1" applyBorder="1" applyAlignment="1">
      <alignment horizontal="center" vertical="center" wrapText="1"/>
    </xf>
    <xf numFmtId="165" fontId="0" fillId="0" borderId="0" xfId="0" applyNumberFormat="1" applyFill="1" applyBorder="1" applyAlignment="1"/>
    <xf numFmtId="165" fontId="25" fillId="0" borderId="96" xfId="0" applyNumberFormat="1" applyFont="1" applyFill="1" applyBorder="1" applyAlignment="1">
      <alignment horizontal="left" wrapText="1"/>
    </xf>
    <xf numFmtId="165" fontId="4" fillId="0" borderId="96" xfId="0" applyNumberFormat="1" applyFont="1" applyFill="1" applyBorder="1" applyAlignment="1">
      <alignment horizontal="left" wrapText="1"/>
    </xf>
    <xf numFmtId="0" fontId="0" fillId="0" borderId="0" xfId="0" applyFill="1" applyBorder="1" applyAlignment="1">
      <alignment vertical="center" wrapText="1"/>
    </xf>
    <xf numFmtId="0" fontId="9" fillId="32" borderId="98" xfId="0" applyFont="1" applyFill="1" applyBorder="1" applyAlignment="1">
      <alignment horizontal="center" vertical="center"/>
    </xf>
    <xf numFmtId="0" fontId="9" fillId="32" borderId="0" xfId="0" applyFont="1" applyFill="1" applyBorder="1" applyAlignment="1">
      <alignment horizontal="center" vertical="center"/>
    </xf>
    <xf numFmtId="0" fontId="9" fillId="32" borderId="99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31" borderId="48" xfId="0" applyFont="1" applyFill="1" applyBorder="1" applyAlignment="1">
      <alignment horizontal="right" vertical="center" indent="1"/>
    </xf>
    <xf numFmtId="0" fontId="9" fillId="31" borderId="85" xfId="0" applyFont="1" applyFill="1" applyBorder="1" applyAlignment="1">
      <alignment horizontal="right" vertical="center" indent="1"/>
    </xf>
    <xf numFmtId="0" fontId="50" fillId="24" borderId="48" xfId="0" applyFont="1" applyFill="1" applyBorder="1" applyAlignment="1">
      <alignment horizontal="center" vertical="center" wrapText="1"/>
    </xf>
    <xf numFmtId="0" fontId="50" fillId="24" borderId="85" xfId="0" applyFont="1" applyFill="1" applyBorder="1" applyAlignment="1">
      <alignment horizontal="center" vertical="center" wrapText="1"/>
    </xf>
    <xf numFmtId="0" fontId="50" fillId="24" borderId="86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/>
    </xf>
    <xf numFmtId="0" fontId="75" fillId="35" borderId="33" xfId="0" applyFont="1" applyFill="1" applyBorder="1" applyAlignment="1">
      <alignment horizontal="center" vertical="center" wrapText="1"/>
    </xf>
    <xf numFmtId="0" fontId="75" fillId="35" borderId="130" xfId="0" applyFont="1" applyFill="1" applyBorder="1" applyAlignment="1">
      <alignment horizontal="center" vertical="center" wrapText="1"/>
    </xf>
    <xf numFmtId="0" fontId="8" fillId="30" borderId="35" xfId="0" applyFont="1" applyFill="1" applyBorder="1" applyAlignment="1">
      <alignment horizontal="center" vertical="center"/>
    </xf>
    <xf numFmtId="0" fontId="8" fillId="30" borderId="125" xfId="0" applyFont="1" applyFill="1" applyBorder="1" applyAlignment="1">
      <alignment horizontal="center" vertical="center"/>
    </xf>
    <xf numFmtId="0" fontId="8" fillId="30" borderId="7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9" fillId="0" borderId="97" xfId="0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 wrapText="1"/>
    </xf>
    <xf numFmtId="0" fontId="83" fillId="25" borderId="98" xfId="0" applyFont="1" applyFill="1" applyBorder="1" applyAlignment="1">
      <alignment horizontal="center" vertical="center"/>
    </xf>
    <xf numFmtId="0" fontId="83" fillId="25" borderId="0" xfId="0" applyFont="1" applyFill="1" applyBorder="1" applyAlignment="1">
      <alignment horizontal="center" vertical="center"/>
    </xf>
    <xf numFmtId="0" fontId="83" fillId="25" borderId="99" xfId="0" applyFont="1" applyFill="1" applyBorder="1" applyAlignment="1">
      <alignment horizontal="center" vertical="center"/>
    </xf>
    <xf numFmtId="0" fontId="95" fillId="25" borderId="87" xfId="0" applyFont="1" applyFill="1" applyBorder="1" applyAlignment="1">
      <alignment horizontal="center" vertical="center"/>
    </xf>
    <xf numFmtId="0" fontId="95" fillId="25" borderId="88" xfId="0" applyFont="1" applyFill="1" applyBorder="1" applyAlignment="1">
      <alignment horizontal="center" vertical="center"/>
    </xf>
    <xf numFmtId="0" fontId="95" fillId="25" borderId="89" xfId="0" applyFont="1" applyFill="1" applyBorder="1" applyAlignment="1">
      <alignment horizontal="center" vertical="center"/>
    </xf>
    <xf numFmtId="0" fontId="85" fillId="25" borderId="63" xfId="0" applyFont="1" applyFill="1" applyBorder="1" applyAlignment="1">
      <alignment horizontal="center" vertical="center"/>
    </xf>
    <xf numFmtId="0" fontId="85" fillId="25" borderId="97" xfId="0" applyFont="1" applyFill="1" applyBorder="1" applyAlignment="1">
      <alignment horizontal="center" vertical="center"/>
    </xf>
    <xf numFmtId="0" fontId="85" fillId="25" borderId="100" xfId="0" applyFont="1" applyFill="1" applyBorder="1" applyAlignment="1">
      <alignment horizontal="center" vertical="center"/>
    </xf>
    <xf numFmtId="165" fontId="14" fillId="29" borderId="87" xfId="0" applyNumberFormat="1" applyFont="1" applyFill="1" applyBorder="1" applyAlignment="1">
      <alignment horizontal="center" vertical="center"/>
    </xf>
    <xf numFmtId="165" fontId="14" fillId="29" borderId="88" xfId="0" applyNumberFormat="1" applyFont="1" applyFill="1" applyBorder="1" applyAlignment="1">
      <alignment horizontal="center" vertical="center"/>
    </xf>
    <xf numFmtId="165" fontId="14" fillId="29" borderId="89" xfId="0" applyNumberFormat="1" applyFont="1" applyFill="1" applyBorder="1" applyAlignment="1">
      <alignment horizontal="center" vertical="center"/>
    </xf>
    <xf numFmtId="165" fontId="68" fillId="29" borderId="63" xfId="0" applyNumberFormat="1" applyFont="1" applyFill="1" applyBorder="1" applyAlignment="1">
      <alignment horizontal="center" vertical="center"/>
    </xf>
    <xf numFmtId="165" fontId="68" fillId="29" borderId="100" xfId="0" applyNumberFormat="1" applyFont="1" applyFill="1" applyBorder="1" applyAlignment="1">
      <alignment horizontal="center" vertical="center"/>
    </xf>
    <xf numFmtId="164" fontId="4" fillId="0" borderId="54" xfId="0" applyNumberFormat="1" applyFont="1" applyBorder="1" applyAlignment="1">
      <alignment horizontal="center" vertical="center" wrapText="1"/>
    </xf>
    <xf numFmtId="164" fontId="4" fillId="0" borderId="94" xfId="0" applyNumberFormat="1" applyFont="1" applyBorder="1" applyAlignment="1">
      <alignment horizontal="center" vertical="center" wrapText="1"/>
    </xf>
    <xf numFmtId="164" fontId="4" fillId="0" borderId="92" xfId="0" applyNumberFormat="1" applyFont="1" applyBorder="1" applyAlignment="1">
      <alignment horizontal="center" vertical="center" wrapText="1"/>
    </xf>
    <xf numFmtId="164" fontId="4" fillId="0" borderId="93" xfId="0" applyNumberFormat="1" applyFont="1" applyBorder="1" applyAlignment="1">
      <alignment horizontal="center" vertical="center" wrapText="1"/>
    </xf>
    <xf numFmtId="164" fontId="4" fillId="0" borderId="127" xfId="0" applyNumberFormat="1" applyFont="1" applyBorder="1" applyAlignment="1">
      <alignment horizontal="center" vertical="center" wrapText="1"/>
    </xf>
    <xf numFmtId="164" fontId="4" fillId="0" borderId="128" xfId="0" applyNumberFormat="1" applyFont="1" applyBorder="1" applyAlignment="1">
      <alignment horizontal="center" vertical="center" wrapText="1"/>
    </xf>
    <xf numFmtId="164" fontId="4" fillId="0" borderId="54" xfId="0" applyNumberFormat="1" applyFont="1" applyBorder="1" applyAlignment="1">
      <alignment horizontal="center" vertical="center"/>
    </xf>
    <xf numFmtId="164" fontId="4" fillId="0" borderId="94" xfId="0" applyNumberFormat="1" applyFont="1" applyBorder="1" applyAlignment="1">
      <alignment horizontal="center" vertical="center"/>
    </xf>
    <xf numFmtId="164" fontId="4" fillId="0" borderId="92" xfId="0" applyNumberFormat="1" applyFont="1" applyBorder="1" applyAlignment="1">
      <alignment horizontal="center" vertical="center"/>
    </xf>
    <xf numFmtId="164" fontId="4" fillId="0" borderId="93" xfId="0" applyNumberFormat="1" applyFont="1" applyBorder="1" applyAlignment="1">
      <alignment horizontal="center" vertical="center"/>
    </xf>
    <xf numFmtId="164" fontId="4" fillId="0" borderId="127" xfId="0" applyNumberFormat="1" applyFont="1" applyBorder="1" applyAlignment="1">
      <alignment horizontal="center" vertical="center"/>
    </xf>
    <xf numFmtId="164" fontId="4" fillId="0" borderId="128" xfId="0" applyNumberFormat="1" applyFont="1" applyBorder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" fillId="31" borderId="48" xfId="0" applyFont="1" applyFill="1" applyBorder="1" applyAlignment="1">
      <alignment horizontal="center" vertical="center"/>
    </xf>
    <xf numFmtId="0" fontId="9" fillId="31" borderId="85" xfId="0" applyFont="1" applyFill="1" applyBorder="1" applyAlignment="1">
      <alignment horizontal="center" vertical="center"/>
    </xf>
    <xf numFmtId="0" fontId="9" fillId="31" borderId="8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9" fillId="31" borderId="71" xfId="0" applyFont="1" applyFill="1" applyBorder="1" applyAlignment="1">
      <alignment horizontal="center" vertical="center"/>
    </xf>
    <xf numFmtId="0" fontId="0" fillId="31" borderId="50" xfId="0" applyFill="1" applyBorder="1" applyAlignment="1">
      <alignment horizontal="center" vertical="center"/>
    </xf>
    <xf numFmtId="0" fontId="0" fillId="31" borderId="51" xfId="0" applyFill="1" applyBorder="1" applyAlignment="1">
      <alignment horizontal="center" vertical="center"/>
    </xf>
    <xf numFmtId="0" fontId="80" fillId="0" borderId="0" xfId="0" applyFont="1" applyBorder="1" applyAlignment="1">
      <alignment horizontal="center" vertical="center"/>
    </xf>
    <xf numFmtId="0" fontId="81" fillId="0" borderId="0" xfId="0" applyFont="1" applyAlignment="1"/>
    <xf numFmtId="0" fontId="41" fillId="0" borderId="0" xfId="0" applyFont="1" applyBorder="1" applyAlignment="1">
      <alignment horizontal="center" vertical="center"/>
    </xf>
    <xf numFmtId="0" fontId="42" fillId="0" borderId="0" xfId="0" applyFont="1" applyAlignme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5" fillId="0" borderId="0" xfId="0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 wrapText="1"/>
    </xf>
    <xf numFmtId="0" fontId="22" fillId="19" borderId="103" xfId="0" applyFont="1" applyFill="1" applyBorder="1" applyAlignment="1">
      <alignment horizontal="center" vertical="center" wrapText="1"/>
    </xf>
    <xf numFmtId="0" fontId="23" fillId="19" borderId="46" xfId="0" applyFont="1" applyFill="1" applyBorder="1" applyAlignment="1"/>
    <xf numFmtId="0" fontId="23" fillId="19" borderId="74" xfId="0" applyFont="1" applyFill="1" applyBorder="1" applyAlignment="1"/>
    <xf numFmtId="0" fontId="9" fillId="23" borderId="104" xfId="0" applyFont="1" applyFill="1" applyBorder="1" applyAlignment="1">
      <alignment horizontal="center" vertical="center" wrapText="1"/>
    </xf>
    <xf numFmtId="0" fontId="4" fillId="0" borderId="27" xfId="0" applyFont="1" applyBorder="1" applyAlignment="1"/>
    <xf numFmtId="0" fontId="4" fillId="0" borderId="105" xfId="0" applyFont="1" applyBorder="1" applyAlignment="1"/>
    <xf numFmtId="0" fontId="8" fillId="23" borderId="106" xfId="0" applyFont="1" applyFill="1" applyBorder="1" applyAlignment="1">
      <alignment horizontal="center" vertical="center" wrapText="1"/>
    </xf>
    <xf numFmtId="0" fontId="4" fillId="0" borderId="22" xfId="0" applyFont="1" applyBorder="1" applyAlignment="1"/>
    <xf numFmtId="0" fontId="4" fillId="0" borderId="31" xfId="0" applyFont="1" applyBorder="1" applyAlignment="1"/>
    <xf numFmtId="0" fontId="8" fillId="23" borderId="107" xfId="0" applyFont="1" applyFill="1" applyBorder="1" applyAlignment="1">
      <alignment horizontal="center" vertical="center" wrapText="1"/>
    </xf>
    <xf numFmtId="0" fontId="4" fillId="0" borderId="25" xfId="0" applyFont="1" applyBorder="1" applyAlignment="1"/>
    <xf numFmtId="0" fontId="4" fillId="0" borderId="108" xfId="0" applyFont="1" applyBorder="1" applyAlignment="1"/>
    <xf numFmtId="0" fontId="83" fillId="0" borderId="97" xfId="0" applyFont="1" applyBorder="1" applyAlignment="1">
      <alignment horizontal="center" vertical="center"/>
    </xf>
    <xf numFmtId="0" fontId="0" fillId="31" borderId="48" xfId="0" applyFill="1" applyBorder="1" applyAlignment="1">
      <alignment horizontal="center" vertical="center"/>
    </xf>
    <xf numFmtId="0" fontId="0" fillId="31" borderId="85" xfId="0" applyFill="1" applyBorder="1" applyAlignment="1">
      <alignment horizontal="center" vertical="center"/>
    </xf>
    <xf numFmtId="0" fontId="0" fillId="31" borderId="86" xfId="0" applyFill="1" applyBorder="1" applyAlignment="1">
      <alignment horizontal="center" vertical="center"/>
    </xf>
    <xf numFmtId="0" fontId="83" fillId="0" borderId="78" xfId="0" applyFont="1" applyBorder="1" applyAlignment="1">
      <alignment horizontal="center" vertical="center"/>
    </xf>
    <xf numFmtId="0" fontId="80" fillId="0" borderId="0" xfId="37" applyFont="1" applyAlignment="1">
      <alignment horizontal="center" vertical="center"/>
    </xf>
    <xf numFmtId="0" fontId="81" fillId="0" borderId="0" xfId="37" applyFont="1" applyAlignment="1">
      <alignment horizontal="center" vertical="center"/>
    </xf>
    <xf numFmtId="0" fontId="20" fillId="26" borderId="48" xfId="0" applyFont="1" applyFill="1" applyBorder="1" applyAlignment="1">
      <alignment horizontal="center" vertical="center" wrapText="1"/>
    </xf>
    <xf numFmtId="0" fontId="20" fillId="26" borderId="86" xfId="0" applyFont="1" applyFill="1" applyBorder="1" applyAlignment="1">
      <alignment horizontal="center" vertical="center" wrapText="1"/>
    </xf>
    <xf numFmtId="0" fontId="80" fillId="0" borderId="0" xfId="0" applyFont="1" applyBorder="1" applyAlignment="1">
      <alignment horizontal="center" vertical="center" wrapText="1"/>
    </xf>
    <xf numFmtId="0" fontId="81" fillId="0" borderId="0" xfId="0" applyFont="1" applyAlignment="1">
      <alignment wrapText="1"/>
    </xf>
    <xf numFmtId="0" fontId="91" fillId="0" borderId="0" xfId="0" applyFont="1" applyAlignment="1">
      <alignment wrapText="1"/>
    </xf>
    <xf numFmtId="0" fontId="52" fillId="0" borderId="0" xfId="0" applyFont="1" applyBorder="1" applyAlignment="1">
      <alignment horizontal="left" vertical="center" wrapText="1"/>
    </xf>
    <xf numFmtId="0" fontId="53" fillId="0" borderId="0" xfId="0" applyFont="1" applyAlignment="1">
      <alignment horizontal="left" vertical="center"/>
    </xf>
    <xf numFmtId="164" fontId="47" fillId="0" borderId="0" xfId="0" applyNumberFormat="1" applyFont="1" applyFill="1" applyBorder="1" applyAlignment="1">
      <alignment horizontal="right" vertical="center" wrapText="1"/>
    </xf>
    <xf numFmtId="0" fontId="47" fillId="0" borderId="0" xfId="0" applyFont="1" applyAlignment="1">
      <alignment horizontal="right" vertical="center"/>
    </xf>
    <xf numFmtId="0" fontId="9" fillId="31" borderId="87" xfId="0" applyFont="1" applyFill="1" applyBorder="1" applyAlignment="1">
      <alignment horizontal="center" vertical="center"/>
    </xf>
    <xf numFmtId="0" fontId="9" fillId="31" borderId="89" xfId="0" applyFont="1" applyFill="1" applyBorder="1" applyAlignment="1">
      <alignment horizontal="center" vertical="center"/>
    </xf>
    <xf numFmtId="0" fontId="9" fillId="31" borderId="63" xfId="0" applyFont="1" applyFill="1" applyBorder="1" applyAlignment="1">
      <alignment horizontal="center" vertical="center"/>
    </xf>
    <xf numFmtId="0" fontId="9" fillId="31" borderId="100" xfId="0" applyFont="1" applyFill="1" applyBorder="1" applyAlignment="1">
      <alignment horizontal="center" vertical="center"/>
    </xf>
    <xf numFmtId="0" fontId="56" fillId="22" borderId="48" xfId="0" applyFont="1" applyFill="1" applyBorder="1" applyAlignment="1">
      <alignment horizontal="center" vertical="center" wrapText="1"/>
    </xf>
    <xf numFmtId="0" fontId="56" fillId="22" borderId="86" xfId="0" applyFont="1" applyFill="1" applyBorder="1" applyAlignment="1">
      <alignment horizontal="center" vertical="center" wrapText="1"/>
    </xf>
    <xf numFmtId="0" fontId="83" fillId="0" borderId="0" xfId="0" applyFont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 customBuiltin="1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DFC0FC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66"/>
      <color rgb="FFCCCCFF"/>
      <color rgb="FFA0A0E0"/>
      <color rgb="FFB7E7FF"/>
      <color rgb="FF336699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PDD'!$B$5:$B$34</c:f>
              <c:numCache>
                <c:formatCode>0.0</c:formatCode>
                <c:ptCount val="30"/>
                <c:pt idx="0">
                  <c:v>100</c:v>
                </c:pt>
                <c:pt idx="1">
                  <c:v>98.5</c:v>
                </c:pt>
                <c:pt idx="2">
                  <c:v>94.3</c:v>
                </c:pt>
                <c:pt idx="3">
                  <c:v>89.6</c:v>
                </c:pt>
                <c:pt idx="4">
                  <c:v>84.6</c:v>
                </c:pt>
                <c:pt idx="5">
                  <c:v>79.900000000000006</c:v>
                </c:pt>
                <c:pt idx="6">
                  <c:v>75.400000000000006</c:v>
                </c:pt>
                <c:pt idx="7">
                  <c:v>71</c:v>
                </c:pt>
                <c:pt idx="8">
                  <c:v>66.900000000000006</c:v>
                </c:pt>
                <c:pt idx="9">
                  <c:v>63</c:v>
                </c:pt>
                <c:pt idx="10">
                  <c:v>59.3</c:v>
                </c:pt>
                <c:pt idx="11">
                  <c:v>55.8</c:v>
                </c:pt>
                <c:pt idx="12">
                  <c:v>52.6</c:v>
                </c:pt>
                <c:pt idx="13">
                  <c:v>49.5</c:v>
                </c:pt>
                <c:pt idx="14">
                  <c:v>46.7</c:v>
                </c:pt>
                <c:pt idx="15">
                  <c:v>43.9</c:v>
                </c:pt>
                <c:pt idx="16">
                  <c:v>41.3</c:v>
                </c:pt>
                <c:pt idx="17">
                  <c:v>38.9</c:v>
                </c:pt>
                <c:pt idx="18">
                  <c:v>36.700000000000003</c:v>
                </c:pt>
                <c:pt idx="19">
                  <c:v>34.6</c:v>
                </c:pt>
                <c:pt idx="20">
                  <c:v>32.6</c:v>
                </c:pt>
                <c:pt idx="21">
                  <c:v>30.7</c:v>
                </c:pt>
                <c:pt idx="22">
                  <c:v>28.9</c:v>
                </c:pt>
                <c:pt idx="23">
                  <c:v>27.3</c:v>
                </c:pt>
                <c:pt idx="24">
                  <c:v>25.7</c:v>
                </c:pt>
                <c:pt idx="25">
                  <c:v>24.3</c:v>
                </c:pt>
                <c:pt idx="26">
                  <c:v>22.9</c:v>
                </c:pt>
                <c:pt idx="27">
                  <c:v>21.7</c:v>
                </c:pt>
                <c:pt idx="28">
                  <c:v>20.5</c:v>
                </c:pt>
                <c:pt idx="29" formatCode="General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78-4C21-A038-4D5E6C1EE44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PDD'!$C$5:$C$34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94.7</c:v>
                </c:pt>
                <c:pt idx="3">
                  <c:v>90.2</c:v>
                </c:pt>
                <c:pt idx="4">
                  <c:v>85.7</c:v>
                </c:pt>
                <c:pt idx="5">
                  <c:v>81.2</c:v>
                </c:pt>
                <c:pt idx="6">
                  <c:v>76.8</c:v>
                </c:pt>
                <c:pt idx="7">
                  <c:v>72.7</c:v>
                </c:pt>
                <c:pt idx="8">
                  <c:v>68.7</c:v>
                </c:pt>
                <c:pt idx="9">
                  <c:v>64.900000000000006</c:v>
                </c:pt>
                <c:pt idx="10">
                  <c:v>61.3</c:v>
                </c:pt>
                <c:pt idx="11">
                  <c:v>57.8</c:v>
                </c:pt>
                <c:pt idx="12">
                  <c:v>54.6</c:v>
                </c:pt>
                <c:pt idx="13">
                  <c:v>51.6</c:v>
                </c:pt>
                <c:pt idx="14">
                  <c:v>48.7</c:v>
                </c:pt>
                <c:pt idx="15">
                  <c:v>45.9</c:v>
                </c:pt>
                <c:pt idx="16">
                  <c:v>43.3</c:v>
                </c:pt>
                <c:pt idx="17">
                  <c:v>40.9</c:v>
                </c:pt>
                <c:pt idx="18">
                  <c:v>38.6</c:v>
                </c:pt>
                <c:pt idx="19">
                  <c:v>36.4</c:v>
                </c:pt>
                <c:pt idx="20">
                  <c:v>34.4</c:v>
                </c:pt>
                <c:pt idx="21">
                  <c:v>32.4</c:v>
                </c:pt>
                <c:pt idx="22">
                  <c:v>30.6</c:v>
                </c:pt>
                <c:pt idx="23">
                  <c:v>29</c:v>
                </c:pt>
                <c:pt idx="24">
                  <c:v>27.3</c:v>
                </c:pt>
                <c:pt idx="25">
                  <c:v>25.8</c:v>
                </c:pt>
                <c:pt idx="26">
                  <c:v>24.4</c:v>
                </c:pt>
                <c:pt idx="27">
                  <c:v>23.1</c:v>
                </c:pt>
                <c:pt idx="28">
                  <c:v>21.8</c:v>
                </c:pt>
                <c:pt idx="29" formatCode="General">
                  <c:v>20.6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78-4C21-A038-4D5E6C1EE44A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PDD'!$D$5:$D$34</c:f>
              <c:numCache>
                <c:formatCode>0.0</c:formatCode>
                <c:ptCount val="30"/>
                <c:pt idx="0">
                  <c:v>100</c:v>
                </c:pt>
                <c:pt idx="1">
                  <c:v>98.8</c:v>
                </c:pt>
                <c:pt idx="2">
                  <c:v>95</c:v>
                </c:pt>
                <c:pt idx="3">
                  <c:v>90.7</c:v>
                </c:pt>
                <c:pt idx="4">
                  <c:v>86.4</c:v>
                </c:pt>
                <c:pt idx="5">
                  <c:v>82.1</c:v>
                </c:pt>
                <c:pt idx="6">
                  <c:v>78</c:v>
                </c:pt>
                <c:pt idx="7">
                  <c:v>74</c:v>
                </c:pt>
                <c:pt idx="8">
                  <c:v>70.099999999999994</c:v>
                </c:pt>
                <c:pt idx="9">
                  <c:v>66.400000000000006</c:v>
                </c:pt>
                <c:pt idx="10">
                  <c:v>62.8</c:v>
                </c:pt>
                <c:pt idx="11">
                  <c:v>59.4</c:v>
                </c:pt>
                <c:pt idx="12">
                  <c:v>56.3</c:v>
                </c:pt>
                <c:pt idx="13">
                  <c:v>53.2</c:v>
                </c:pt>
                <c:pt idx="14">
                  <c:v>50.3</c:v>
                </c:pt>
                <c:pt idx="15">
                  <c:v>47.5</c:v>
                </c:pt>
                <c:pt idx="16">
                  <c:v>45</c:v>
                </c:pt>
                <c:pt idx="17">
                  <c:v>42.5</c:v>
                </c:pt>
                <c:pt idx="18">
                  <c:v>40.200000000000003</c:v>
                </c:pt>
                <c:pt idx="19">
                  <c:v>38</c:v>
                </c:pt>
                <c:pt idx="20">
                  <c:v>35.9</c:v>
                </c:pt>
                <c:pt idx="21">
                  <c:v>33.9</c:v>
                </c:pt>
                <c:pt idx="22">
                  <c:v>32.1</c:v>
                </c:pt>
                <c:pt idx="23">
                  <c:v>30.4</c:v>
                </c:pt>
                <c:pt idx="24">
                  <c:v>28.7</c:v>
                </c:pt>
                <c:pt idx="25">
                  <c:v>27.2</c:v>
                </c:pt>
                <c:pt idx="26">
                  <c:v>25.7</c:v>
                </c:pt>
                <c:pt idx="27">
                  <c:v>24.3</c:v>
                </c:pt>
                <c:pt idx="28">
                  <c:v>23</c:v>
                </c:pt>
                <c:pt idx="29" formatCode="General">
                  <c:v>21.7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78-4C21-A038-4D5E6C1EE44A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PDD'!$E$5:$E$34</c:f>
              <c:numCache>
                <c:formatCode>0.0</c:formatCode>
                <c:ptCount val="30"/>
                <c:pt idx="0">
                  <c:v>100</c:v>
                </c:pt>
                <c:pt idx="1">
                  <c:v>98.8</c:v>
                </c:pt>
                <c:pt idx="2">
                  <c:v>95.1</c:v>
                </c:pt>
                <c:pt idx="3">
                  <c:v>91</c:v>
                </c:pt>
                <c:pt idx="4">
                  <c:v>86.9</c:v>
                </c:pt>
                <c:pt idx="5">
                  <c:v>82.8</c:v>
                </c:pt>
                <c:pt idx="6">
                  <c:v>78.8</c:v>
                </c:pt>
                <c:pt idx="7">
                  <c:v>74.900000000000006</c:v>
                </c:pt>
                <c:pt idx="8">
                  <c:v>71.099999999999994</c:v>
                </c:pt>
                <c:pt idx="9">
                  <c:v>67.5</c:v>
                </c:pt>
                <c:pt idx="10">
                  <c:v>64</c:v>
                </c:pt>
                <c:pt idx="11">
                  <c:v>60.7</c:v>
                </c:pt>
                <c:pt idx="12">
                  <c:v>57.6</c:v>
                </c:pt>
                <c:pt idx="13">
                  <c:v>54.5</c:v>
                </c:pt>
                <c:pt idx="14">
                  <c:v>51.7</c:v>
                </c:pt>
                <c:pt idx="15">
                  <c:v>48.9</c:v>
                </c:pt>
                <c:pt idx="16">
                  <c:v>46.3</c:v>
                </c:pt>
                <c:pt idx="17">
                  <c:v>43.8</c:v>
                </c:pt>
                <c:pt idx="18">
                  <c:v>41.5</c:v>
                </c:pt>
                <c:pt idx="19">
                  <c:v>39.299999999999997</c:v>
                </c:pt>
                <c:pt idx="20">
                  <c:v>37.200000000000003</c:v>
                </c:pt>
                <c:pt idx="21">
                  <c:v>35.200000000000003</c:v>
                </c:pt>
                <c:pt idx="22">
                  <c:v>33.299999999999997</c:v>
                </c:pt>
                <c:pt idx="23">
                  <c:v>31.6</c:v>
                </c:pt>
                <c:pt idx="24">
                  <c:v>29.9</c:v>
                </c:pt>
                <c:pt idx="25">
                  <c:v>28.3</c:v>
                </c:pt>
                <c:pt idx="26">
                  <c:v>26.8</c:v>
                </c:pt>
                <c:pt idx="27">
                  <c:v>25.4</c:v>
                </c:pt>
                <c:pt idx="28">
                  <c:v>24.1</c:v>
                </c:pt>
                <c:pt idx="29" formatCode="General">
                  <c:v>22.8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78-4C21-A038-4D5E6C1EE44A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PDD'!$F$5:$F$34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95.2</c:v>
                </c:pt>
                <c:pt idx="3">
                  <c:v>91.4</c:v>
                </c:pt>
                <c:pt idx="4">
                  <c:v>87.5</c:v>
                </c:pt>
                <c:pt idx="5">
                  <c:v>83.7</c:v>
                </c:pt>
                <c:pt idx="6">
                  <c:v>79.900000000000006</c:v>
                </c:pt>
                <c:pt idx="7">
                  <c:v>76.3</c:v>
                </c:pt>
                <c:pt idx="8">
                  <c:v>72.7</c:v>
                </c:pt>
                <c:pt idx="9">
                  <c:v>69.3</c:v>
                </c:pt>
                <c:pt idx="10">
                  <c:v>66</c:v>
                </c:pt>
                <c:pt idx="11">
                  <c:v>62.8</c:v>
                </c:pt>
                <c:pt idx="12">
                  <c:v>59.8</c:v>
                </c:pt>
                <c:pt idx="13">
                  <c:v>56.8</c:v>
                </c:pt>
                <c:pt idx="14">
                  <c:v>54</c:v>
                </c:pt>
                <c:pt idx="15">
                  <c:v>51.3</c:v>
                </c:pt>
                <c:pt idx="16">
                  <c:v>48.7</c:v>
                </c:pt>
                <c:pt idx="17">
                  <c:v>46.2</c:v>
                </c:pt>
                <c:pt idx="18">
                  <c:v>43.9</c:v>
                </c:pt>
                <c:pt idx="19">
                  <c:v>41.7</c:v>
                </c:pt>
                <c:pt idx="20">
                  <c:v>39.6</c:v>
                </c:pt>
                <c:pt idx="21">
                  <c:v>37.6</c:v>
                </c:pt>
                <c:pt idx="22">
                  <c:v>35.700000000000003</c:v>
                </c:pt>
                <c:pt idx="23">
                  <c:v>33.9</c:v>
                </c:pt>
                <c:pt idx="24">
                  <c:v>32.200000000000003</c:v>
                </c:pt>
                <c:pt idx="25">
                  <c:v>30.6</c:v>
                </c:pt>
                <c:pt idx="26">
                  <c:v>29</c:v>
                </c:pt>
                <c:pt idx="27">
                  <c:v>27.6</c:v>
                </c:pt>
                <c:pt idx="28">
                  <c:v>26.2</c:v>
                </c:pt>
                <c:pt idx="29" formatCode="General">
                  <c:v>24.8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78-4C21-A038-4D5E6C1EE44A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PDD'!$G$5:$G$34</c:f>
              <c:numCache>
                <c:formatCode>0.0</c:formatCode>
                <c:ptCount val="30"/>
                <c:pt idx="0">
                  <c:v>100</c:v>
                </c:pt>
                <c:pt idx="1">
                  <c:v>98.6</c:v>
                </c:pt>
                <c:pt idx="2">
                  <c:v>95.3</c:v>
                </c:pt>
                <c:pt idx="3">
                  <c:v>91.5</c:v>
                </c:pt>
                <c:pt idx="4">
                  <c:v>87.9</c:v>
                </c:pt>
                <c:pt idx="5">
                  <c:v>84.2</c:v>
                </c:pt>
                <c:pt idx="6">
                  <c:v>80.7</c:v>
                </c:pt>
                <c:pt idx="7">
                  <c:v>77.099999999999994</c:v>
                </c:pt>
                <c:pt idx="8">
                  <c:v>73.7</c:v>
                </c:pt>
                <c:pt idx="9">
                  <c:v>70.400000000000006</c:v>
                </c:pt>
                <c:pt idx="10">
                  <c:v>67.2</c:v>
                </c:pt>
                <c:pt idx="11">
                  <c:v>64.099999999999994</c:v>
                </c:pt>
                <c:pt idx="12">
                  <c:v>61.2</c:v>
                </c:pt>
                <c:pt idx="13">
                  <c:v>58.2</c:v>
                </c:pt>
                <c:pt idx="14">
                  <c:v>55.5</c:v>
                </c:pt>
                <c:pt idx="15">
                  <c:v>52.8</c:v>
                </c:pt>
                <c:pt idx="16">
                  <c:v>50.3</c:v>
                </c:pt>
                <c:pt idx="17">
                  <c:v>47.9</c:v>
                </c:pt>
                <c:pt idx="18">
                  <c:v>45.6</c:v>
                </c:pt>
                <c:pt idx="19">
                  <c:v>43.4</c:v>
                </c:pt>
                <c:pt idx="20">
                  <c:v>41.3</c:v>
                </c:pt>
                <c:pt idx="21">
                  <c:v>39.299999999999997</c:v>
                </c:pt>
                <c:pt idx="22">
                  <c:v>37.299999999999997</c:v>
                </c:pt>
                <c:pt idx="23">
                  <c:v>35.5</c:v>
                </c:pt>
                <c:pt idx="24">
                  <c:v>33.799999999999997</c:v>
                </c:pt>
                <c:pt idx="25">
                  <c:v>32.1</c:v>
                </c:pt>
                <c:pt idx="26">
                  <c:v>30.5</c:v>
                </c:pt>
                <c:pt idx="27">
                  <c:v>29.1</c:v>
                </c:pt>
                <c:pt idx="28">
                  <c:v>27.7</c:v>
                </c:pt>
                <c:pt idx="29" formatCode="General">
                  <c:v>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78-4C21-A038-4D5E6C1EE44A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PDD'!$H$5:$H$34</c:f>
              <c:numCache>
                <c:formatCode>0.0</c:formatCode>
                <c:ptCount val="30"/>
                <c:pt idx="0">
                  <c:v>100</c:v>
                </c:pt>
                <c:pt idx="1">
                  <c:v>98.6</c:v>
                </c:pt>
                <c:pt idx="2">
                  <c:v>95.3</c:v>
                </c:pt>
                <c:pt idx="3">
                  <c:v>91.7</c:v>
                </c:pt>
                <c:pt idx="4">
                  <c:v>88.2</c:v>
                </c:pt>
                <c:pt idx="5">
                  <c:v>84.6</c:v>
                </c:pt>
                <c:pt idx="6">
                  <c:v>81.2</c:v>
                </c:pt>
                <c:pt idx="7">
                  <c:v>77.7</c:v>
                </c:pt>
                <c:pt idx="8">
                  <c:v>74.400000000000006</c:v>
                </c:pt>
                <c:pt idx="9">
                  <c:v>71.099999999999994</c:v>
                </c:pt>
                <c:pt idx="10">
                  <c:v>68</c:v>
                </c:pt>
                <c:pt idx="11">
                  <c:v>65</c:v>
                </c:pt>
                <c:pt idx="12">
                  <c:v>62.1</c:v>
                </c:pt>
                <c:pt idx="13">
                  <c:v>59.2</c:v>
                </c:pt>
                <c:pt idx="14">
                  <c:v>56.5</c:v>
                </c:pt>
                <c:pt idx="15">
                  <c:v>53.9</c:v>
                </c:pt>
                <c:pt idx="16">
                  <c:v>51.4</c:v>
                </c:pt>
                <c:pt idx="17">
                  <c:v>49</c:v>
                </c:pt>
                <c:pt idx="18">
                  <c:v>46.7</c:v>
                </c:pt>
                <c:pt idx="19">
                  <c:v>44.5</c:v>
                </c:pt>
                <c:pt idx="20">
                  <c:v>42.4</c:v>
                </c:pt>
                <c:pt idx="21">
                  <c:v>40.4</c:v>
                </c:pt>
                <c:pt idx="22">
                  <c:v>38.5</c:v>
                </c:pt>
                <c:pt idx="23">
                  <c:v>36.700000000000003</c:v>
                </c:pt>
                <c:pt idx="24">
                  <c:v>35</c:v>
                </c:pt>
                <c:pt idx="25">
                  <c:v>33.299999999999997</c:v>
                </c:pt>
                <c:pt idx="26">
                  <c:v>31.7</c:v>
                </c:pt>
                <c:pt idx="27">
                  <c:v>30.2</c:v>
                </c:pt>
                <c:pt idx="28">
                  <c:v>28.8</c:v>
                </c:pt>
                <c:pt idx="29" formatCode="General">
                  <c:v>27.4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778-4C21-A038-4D5E6C1EE44A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PDD'!$I$5:$I$34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95.4</c:v>
                </c:pt>
                <c:pt idx="3">
                  <c:v>91.9</c:v>
                </c:pt>
                <c:pt idx="4">
                  <c:v>88.5</c:v>
                </c:pt>
                <c:pt idx="5">
                  <c:v>85</c:v>
                </c:pt>
                <c:pt idx="6">
                  <c:v>81.599999999999994</c:v>
                </c:pt>
                <c:pt idx="7">
                  <c:v>78.2</c:v>
                </c:pt>
                <c:pt idx="8">
                  <c:v>75</c:v>
                </c:pt>
                <c:pt idx="9">
                  <c:v>71.7</c:v>
                </c:pt>
                <c:pt idx="10">
                  <c:v>68.599999999999994</c:v>
                </c:pt>
                <c:pt idx="11">
                  <c:v>65.7</c:v>
                </c:pt>
                <c:pt idx="12">
                  <c:v>62.8</c:v>
                </c:pt>
                <c:pt idx="13">
                  <c:v>59.9</c:v>
                </c:pt>
                <c:pt idx="14">
                  <c:v>57.3</c:v>
                </c:pt>
                <c:pt idx="15">
                  <c:v>54.7</c:v>
                </c:pt>
                <c:pt idx="16">
                  <c:v>52.3</c:v>
                </c:pt>
                <c:pt idx="17">
                  <c:v>49.9</c:v>
                </c:pt>
                <c:pt idx="18">
                  <c:v>47.6</c:v>
                </c:pt>
                <c:pt idx="19">
                  <c:v>45.4</c:v>
                </c:pt>
                <c:pt idx="20">
                  <c:v>43.3</c:v>
                </c:pt>
                <c:pt idx="21">
                  <c:v>41.3</c:v>
                </c:pt>
                <c:pt idx="22">
                  <c:v>39.4</c:v>
                </c:pt>
                <c:pt idx="23">
                  <c:v>37.6</c:v>
                </c:pt>
                <c:pt idx="24">
                  <c:v>35.799999999999997</c:v>
                </c:pt>
                <c:pt idx="25">
                  <c:v>34.1</c:v>
                </c:pt>
                <c:pt idx="26">
                  <c:v>32.5</c:v>
                </c:pt>
                <c:pt idx="27">
                  <c:v>31</c:v>
                </c:pt>
                <c:pt idx="28">
                  <c:v>29.6</c:v>
                </c:pt>
                <c:pt idx="29" formatCode="General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778-4C21-A038-4D5E6C1EE44A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PDD'!$J$5:$J$34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95.4</c:v>
                </c:pt>
                <c:pt idx="3">
                  <c:v>92</c:v>
                </c:pt>
                <c:pt idx="4">
                  <c:v>88.7</c:v>
                </c:pt>
                <c:pt idx="5">
                  <c:v>85.3</c:v>
                </c:pt>
                <c:pt idx="6">
                  <c:v>81.900000000000006</c:v>
                </c:pt>
                <c:pt idx="7">
                  <c:v>78.599999999999994</c:v>
                </c:pt>
                <c:pt idx="8">
                  <c:v>75.400000000000006</c:v>
                </c:pt>
                <c:pt idx="9">
                  <c:v>72.2</c:v>
                </c:pt>
                <c:pt idx="10">
                  <c:v>69.099999999999994</c:v>
                </c:pt>
                <c:pt idx="11">
                  <c:v>66.2</c:v>
                </c:pt>
                <c:pt idx="12">
                  <c:v>63.4</c:v>
                </c:pt>
                <c:pt idx="13">
                  <c:v>60.5</c:v>
                </c:pt>
                <c:pt idx="14">
                  <c:v>57.9</c:v>
                </c:pt>
                <c:pt idx="15">
                  <c:v>55.3</c:v>
                </c:pt>
                <c:pt idx="16">
                  <c:v>52.9</c:v>
                </c:pt>
                <c:pt idx="17">
                  <c:v>50.5</c:v>
                </c:pt>
                <c:pt idx="18">
                  <c:v>48.2</c:v>
                </c:pt>
                <c:pt idx="19">
                  <c:v>46</c:v>
                </c:pt>
                <c:pt idx="20">
                  <c:v>43.9</c:v>
                </c:pt>
                <c:pt idx="21">
                  <c:v>41.9</c:v>
                </c:pt>
                <c:pt idx="22">
                  <c:v>40</c:v>
                </c:pt>
                <c:pt idx="23">
                  <c:v>38.200000000000003</c:v>
                </c:pt>
                <c:pt idx="24">
                  <c:v>36.5</c:v>
                </c:pt>
                <c:pt idx="25">
                  <c:v>34.799999999999997</c:v>
                </c:pt>
                <c:pt idx="26">
                  <c:v>33.200000000000003</c:v>
                </c:pt>
                <c:pt idx="27">
                  <c:v>31.7</c:v>
                </c:pt>
                <c:pt idx="28">
                  <c:v>30.2</c:v>
                </c:pt>
                <c:pt idx="29" formatCode="General">
                  <c:v>28.8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778-4C21-A038-4D5E6C1EE44A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PDD'!$K$5:$K$34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95.5</c:v>
                </c:pt>
                <c:pt idx="3">
                  <c:v>92.1</c:v>
                </c:pt>
                <c:pt idx="4">
                  <c:v>88.8</c:v>
                </c:pt>
                <c:pt idx="5">
                  <c:v>85.5</c:v>
                </c:pt>
                <c:pt idx="6">
                  <c:v>82.2</c:v>
                </c:pt>
                <c:pt idx="7">
                  <c:v>78.900000000000006</c:v>
                </c:pt>
                <c:pt idx="8">
                  <c:v>75.7</c:v>
                </c:pt>
                <c:pt idx="9">
                  <c:v>72.5</c:v>
                </c:pt>
                <c:pt idx="10">
                  <c:v>69.5</c:v>
                </c:pt>
                <c:pt idx="11">
                  <c:v>66.599999999999994</c:v>
                </c:pt>
                <c:pt idx="12">
                  <c:v>63.8</c:v>
                </c:pt>
                <c:pt idx="13">
                  <c:v>61</c:v>
                </c:pt>
                <c:pt idx="14">
                  <c:v>58.4</c:v>
                </c:pt>
                <c:pt idx="15">
                  <c:v>55.8</c:v>
                </c:pt>
                <c:pt idx="16">
                  <c:v>53.4</c:v>
                </c:pt>
                <c:pt idx="17">
                  <c:v>51</c:v>
                </c:pt>
                <c:pt idx="18">
                  <c:v>48.7</c:v>
                </c:pt>
                <c:pt idx="19">
                  <c:v>46.5</c:v>
                </c:pt>
                <c:pt idx="20">
                  <c:v>44.4</c:v>
                </c:pt>
                <c:pt idx="21">
                  <c:v>42.4</c:v>
                </c:pt>
                <c:pt idx="22">
                  <c:v>40.5</c:v>
                </c:pt>
                <c:pt idx="23">
                  <c:v>38.700000000000003</c:v>
                </c:pt>
                <c:pt idx="24">
                  <c:v>37</c:v>
                </c:pt>
                <c:pt idx="25">
                  <c:v>35.299999999999997</c:v>
                </c:pt>
                <c:pt idx="26">
                  <c:v>33.700000000000003</c:v>
                </c:pt>
                <c:pt idx="27">
                  <c:v>32.200000000000003</c:v>
                </c:pt>
                <c:pt idx="28">
                  <c:v>30.7</c:v>
                </c:pt>
                <c:pt idx="29" formatCode="General">
                  <c:v>29.3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778-4C21-A038-4D5E6C1EE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6464"/>
        <c:axId val="198528384"/>
      </c:scatterChart>
      <c:valAx>
        <c:axId val="19852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depth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28384"/>
        <c:crosses val="autoZero"/>
        <c:crossBetween val="midCat"/>
      </c:valAx>
      <c:valAx>
        <c:axId val="198528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pdd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2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PDD'!$B$5:$B$33</c:f>
              <c:numCache>
                <c:formatCode>0.0</c:formatCode>
                <c:ptCount val="29"/>
                <c:pt idx="0">
                  <c:v>100</c:v>
                </c:pt>
                <c:pt idx="1">
                  <c:v>98.5</c:v>
                </c:pt>
                <c:pt idx="2">
                  <c:v>95</c:v>
                </c:pt>
                <c:pt idx="3">
                  <c:v>90.6</c:v>
                </c:pt>
                <c:pt idx="4">
                  <c:v>86.2</c:v>
                </c:pt>
                <c:pt idx="5">
                  <c:v>82</c:v>
                </c:pt>
                <c:pt idx="6">
                  <c:v>77.8</c:v>
                </c:pt>
                <c:pt idx="7">
                  <c:v>73.900000000000006</c:v>
                </c:pt>
                <c:pt idx="8">
                  <c:v>70.2</c:v>
                </c:pt>
                <c:pt idx="9">
                  <c:v>66.599999999999994</c:v>
                </c:pt>
                <c:pt idx="10">
                  <c:v>63.2</c:v>
                </c:pt>
                <c:pt idx="11">
                  <c:v>60.1</c:v>
                </c:pt>
                <c:pt idx="12">
                  <c:v>57</c:v>
                </c:pt>
                <c:pt idx="13">
                  <c:v>54.1</c:v>
                </c:pt>
                <c:pt idx="14">
                  <c:v>51.4</c:v>
                </c:pt>
                <c:pt idx="15">
                  <c:v>48.9</c:v>
                </c:pt>
                <c:pt idx="16">
                  <c:v>46.4</c:v>
                </c:pt>
                <c:pt idx="17">
                  <c:v>44.1</c:v>
                </c:pt>
                <c:pt idx="18">
                  <c:v>41.9</c:v>
                </c:pt>
                <c:pt idx="19">
                  <c:v>39.799999999999997</c:v>
                </c:pt>
                <c:pt idx="20">
                  <c:v>37.799999999999997</c:v>
                </c:pt>
                <c:pt idx="21">
                  <c:v>35.9</c:v>
                </c:pt>
                <c:pt idx="22">
                  <c:v>34.200000000000003</c:v>
                </c:pt>
                <c:pt idx="23">
                  <c:v>32.5</c:v>
                </c:pt>
                <c:pt idx="24">
                  <c:v>30.9</c:v>
                </c:pt>
                <c:pt idx="25">
                  <c:v>29.4</c:v>
                </c:pt>
                <c:pt idx="26">
                  <c:v>28</c:v>
                </c:pt>
                <c:pt idx="27">
                  <c:v>26.7</c:v>
                </c:pt>
                <c:pt idx="28" formatCode="General">
                  <c:v>25.4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7-451D-ADDD-75A3EB6C684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PDD'!$C$5:$C$33</c:f>
              <c:numCache>
                <c:formatCode>0.0</c:formatCode>
                <c:ptCount val="29"/>
                <c:pt idx="0">
                  <c:v>100</c:v>
                </c:pt>
                <c:pt idx="1">
                  <c:v>98.6</c:v>
                </c:pt>
                <c:pt idx="2">
                  <c:v>95.2</c:v>
                </c:pt>
                <c:pt idx="3">
                  <c:v>91.1</c:v>
                </c:pt>
                <c:pt idx="4">
                  <c:v>86.9</c:v>
                </c:pt>
                <c:pt idx="5">
                  <c:v>82.9</c:v>
                </c:pt>
                <c:pt idx="6">
                  <c:v>78.900000000000006</c:v>
                </c:pt>
                <c:pt idx="7">
                  <c:v>75.099999999999994</c:v>
                </c:pt>
                <c:pt idx="8">
                  <c:v>71.5</c:v>
                </c:pt>
                <c:pt idx="9">
                  <c:v>68</c:v>
                </c:pt>
                <c:pt idx="10">
                  <c:v>64.599999999999994</c:v>
                </c:pt>
                <c:pt idx="11">
                  <c:v>61.5</c:v>
                </c:pt>
                <c:pt idx="12">
                  <c:v>58.5</c:v>
                </c:pt>
                <c:pt idx="13">
                  <c:v>55.6</c:v>
                </c:pt>
                <c:pt idx="14">
                  <c:v>52.9</c:v>
                </c:pt>
                <c:pt idx="15">
                  <c:v>50.4</c:v>
                </c:pt>
                <c:pt idx="16">
                  <c:v>47.9</c:v>
                </c:pt>
                <c:pt idx="17">
                  <c:v>45.6</c:v>
                </c:pt>
                <c:pt idx="18">
                  <c:v>43.4</c:v>
                </c:pt>
                <c:pt idx="19">
                  <c:v>41.2</c:v>
                </c:pt>
                <c:pt idx="20">
                  <c:v>39.200000000000003</c:v>
                </c:pt>
                <c:pt idx="21">
                  <c:v>37.4</c:v>
                </c:pt>
                <c:pt idx="22">
                  <c:v>35.6</c:v>
                </c:pt>
                <c:pt idx="23">
                  <c:v>33.9</c:v>
                </c:pt>
                <c:pt idx="24">
                  <c:v>32.299999999999997</c:v>
                </c:pt>
                <c:pt idx="25">
                  <c:v>30.7</c:v>
                </c:pt>
                <c:pt idx="26">
                  <c:v>29.3</c:v>
                </c:pt>
                <c:pt idx="27">
                  <c:v>27.9</c:v>
                </c:pt>
                <c:pt idx="28" formatCode="General">
                  <c:v>26.6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27-451D-ADDD-75A3EB6C684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PDD'!$D$5:$D$33</c:f>
              <c:numCache>
                <c:formatCode>0.0</c:formatCode>
                <c:ptCount val="29"/>
                <c:pt idx="0">
                  <c:v>100</c:v>
                </c:pt>
                <c:pt idx="1">
                  <c:v>98.5</c:v>
                </c:pt>
                <c:pt idx="2">
                  <c:v>95.3</c:v>
                </c:pt>
                <c:pt idx="3">
                  <c:v>91.3</c:v>
                </c:pt>
                <c:pt idx="4">
                  <c:v>87.4</c:v>
                </c:pt>
                <c:pt idx="5">
                  <c:v>83.5</c:v>
                </c:pt>
                <c:pt idx="6">
                  <c:v>79.599999999999994</c:v>
                </c:pt>
                <c:pt idx="7">
                  <c:v>75.900000000000006</c:v>
                </c:pt>
                <c:pt idx="8">
                  <c:v>72.400000000000006</c:v>
                </c:pt>
                <c:pt idx="9">
                  <c:v>69</c:v>
                </c:pt>
                <c:pt idx="10">
                  <c:v>65.7</c:v>
                </c:pt>
                <c:pt idx="11">
                  <c:v>62.6</c:v>
                </c:pt>
                <c:pt idx="12">
                  <c:v>59.7</c:v>
                </c:pt>
                <c:pt idx="13">
                  <c:v>56.8</c:v>
                </c:pt>
                <c:pt idx="14">
                  <c:v>54.1</c:v>
                </c:pt>
                <c:pt idx="15">
                  <c:v>51.6</c:v>
                </c:pt>
                <c:pt idx="16">
                  <c:v>49.1</c:v>
                </c:pt>
                <c:pt idx="17">
                  <c:v>46.8</c:v>
                </c:pt>
                <c:pt idx="18">
                  <c:v>44.6</c:v>
                </c:pt>
                <c:pt idx="19">
                  <c:v>42.4</c:v>
                </c:pt>
                <c:pt idx="20">
                  <c:v>40.5</c:v>
                </c:pt>
                <c:pt idx="21">
                  <c:v>38.6</c:v>
                </c:pt>
                <c:pt idx="22">
                  <c:v>36.799999999999997</c:v>
                </c:pt>
                <c:pt idx="23">
                  <c:v>35</c:v>
                </c:pt>
                <c:pt idx="24">
                  <c:v>33.4</c:v>
                </c:pt>
                <c:pt idx="25">
                  <c:v>31.8</c:v>
                </c:pt>
                <c:pt idx="26">
                  <c:v>30.3</c:v>
                </c:pt>
                <c:pt idx="27">
                  <c:v>28.9</c:v>
                </c:pt>
                <c:pt idx="28" formatCode="General">
                  <c:v>27.6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27-451D-ADDD-75A3EB6C684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PDD'!$E$5:$E$33</c:f>
              <c:numCache>
                <c:formatCode>0.0</c:formatCode>
                <c:ptCount val="29"/>
                <c:pt idx="0">
                  <c:v>100</c:v>
                </c:pt>
                <c:pt idx="1">
                  <c:v>98.5</c:v>
                </c:pt>
                <c:pt idx="2">
                  <c:v>95.2</c:v>
                </c:pt>
                <c:pt idx="3">
                  <c:v>91.4</c:v>
                </c:pt>
                <c:pt idx="4">
                  <c:v>87.6</c:v>
                </c:pt>
                <c:pt idx="5">
                  <c:v>83.8</c:v>
                </c:pt>
                <c:pt idx="6">
                  <c:v>80</c:v>
                </c:pt>
                <c:pt idx="7">
                  <c:v>76.400000000000006</c:v>
                </c:pt>
                <c:pt idx="8">
                  <c:v>73</c:v>
                </c:pt>
                <c:pt idx="9">
                  <c:v>69.7</c:v>
                </c:pt>
                <c:pt idx="10">
                  <c:v>66.5</c:v>
                </c:pt>
                <c:pt idx="11">
                  <c:v>63.5</c:v>
                </c:pt>
                <c:pt idx="12">
                  <c:v>60.6</c:v>
                </c:pt>
                <c:pt idx="13">
                  <c:v>57.8</c:v>
                </c:pt>
                <c:pt idx="14">
                  <c:v>55.1</c:v>
                </c:pt>
                <c:pt idx="15">
                  <c:v>52.6</c:v>
                </c:pt>
                <c:pt idx="16">
                  <c:v>50.1</c:v>
                </c:pt>
                <c:pt idx="17">
                  <c:v>47.8</c:v>
                </c:pt>
                <c:pt idx="18">
                  <c:v>45.6</c:v>
                </c:pt>
                <c:pt idx="19">
                  <c:v>43.4</c:v>
                </c:pt>
                <c:pt idx="20">
                  <c:v>41.4</c:v>
                </c:pt>
                <c:pt idx="21">
                  <c:v>39.5</c:v>
                </c:pt>
                <c:pt idx="22">
                  <c:v>37.700000000000003</c:v>
                </c:pt>
                <c:pt idx="23">
                  <c:v>35.9</c:v>
                </c:pt>
                <c:pt idx="24">
                  <c:v>34.299999999999997</c:v>
                </c:pt>
                <c:pt idx="25">
                  <c:v>32.700000000000003</c:v>
                </c:pt>
                <c:pt idx="26">
                  <c:v>31.2</c:v>
                </c:pt>
                <c:pt idx="27">
                  <c:v>29.8</c:v>
                </c:pt>
                <c:pt idx="28" formatCode="General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27-451D-ADDD-75A3EB6C684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PDD'!$F$5:$F$33</c:f>
              <c:numCache>
                <c:formatCode>0.0</c:formatCode>
                <c:ptCount val="29"/>
                <c:pt idx="0">
                  <c:v>100</c:v>
                </c:pt>
                <c:pt idx="1">
                  <c:v>98.4</c:v>
                </c:pt>
                <c:pt idx="2">
                  <c:v>95.1</c:v>
                </c:pt>
                <c:pt idx="3">
                  <c:v>91.4</c:v>
                </c:pt>
                <c:pt idx="4">
                  <c:v>87.8</c:v>
                </c:pt>
                <c:pt idx="5">
                  <c:v>84.2</c:v>
                </c:pt>
                <c:pt idx="6">
                  <c:v>80.599999999999994</c:v>
                </c:pt>
                <c:pt idx="7">
                  <c:v>77.2</c:v>
                </c:pt>
                <c:pt idx="8">
                  <c:v>74</c:v>
                </c:pt>
                <c:pt idx="9">
                  <c:v>70.8</c:v>
                </c:pt>
                <c:pt idx="10">
                  <c:v>67.7</c:v>
                </c:pt>
                <c:pt idx="11">
                  <c:v>64.900000000000006</c:v>
                </c:pt>
                <c:pt idx="12">
                  <c:v>62</c:v>
                </c:pt>
                <c:pt idx="13">
                  <c:v>59.3</c:v>
                </c:pt>
                <c:pt idx="14">
                  <c:v>56.7</c:v>
                </c:pt>
                <c:pt idx="15">
                  <c:v>54.3</c:v>
                </c:pt>
                <c:pt idx="16">
                  <c:v>51.8</c:v>
                </c:pt>
                <c:pt idx="17">
                  <c:v>49.5</c:v>
                </c:pt>
                <c:pt idx="18">
                  <c:v>47.3</c:v>
                </c:pt>
                <c:pt idx="19">
                  <c:v>45.2</c:v>
                </c:pt>
                <c:pt idx="20">
                  <c:v>43.2</c:v>
                </c:pt>
                <c:pt idx="21">
                  <c:v>41.3</c:v>
                </c:pt>
                <c:pt idx="22">
                  <c:v>39.5</c:v>
                </c:pt>
                <c:pt idx="23">
                  <c:v>37.700000000000003</c:v>
                </c:pt>
                <c:pt idx="24">
                  <c:v>36.1</c:v>
                </c:pt>
                <c:pt idx="25">
                  <c:v>34.5</c:v>
                </c:pt>
                <c:pt idx="26">
                  <c:v>33</c:v>
                </c:pt>
                <c:pt idx="27">
                  <c:v>31.5</c:v>
                </c:pt>
                <c:pt idx="28" formatCode="General">
                  <c:v>30.1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27-451D-ADDD-75A3EB6C684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PDD'!$G$5:$G$33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</c:v>
                </c:pt>
                <c:pt idx="3">
                  <c:v>91.4</c:v>
                </c:pt>
                <c:pt idx="4">
                  <c:v>87.9</c:v>
                </c:pt>
                <c:pt idx="5">
                  <c:v>84.4</c:v>
                </c:pt>
                <c:pt idx="6">
                  <c:v>81</c:v>
                </c:pt>
                <c:pt idx="7">
                  <c:v>77.7</c:v>
                </c:pt>
                <c:pt idx="8">
                  <c:v>74.599999999999994</c:v>
                </c:pt>
                <c:pt idx="9">
                  <c:v>71.5</c:v>
                </c:pt>
                <c:pt idx="10">
                  <c:v>68.5</c:v>
                </c:pt>
                <c:pt idx="11">
                  <c:v>65.7</c:v>
                </c:pt>
                <c:pt idx="12">
                  <c:v>62.9</c:v>
                </c:pt>
                <c:pt idx="13">
                  <c:v>60.2</c:v>
                </c:pt>
                <c:pt idx="14">
                  <c:v>57.7</c:v>
                </c:pt>
                <c:pt idx="15">
                  <c:v>55.3</c:v>
                </c:pt>
                <c:pt idx="16">
                  <c:v>52.9</c:v>
                </c:pt>
                <c:pt idx="17">
                  <c:v>50.7</c:v>
                </c:pt>
                <c:pt idx="18">
                  <c:v>48.5</c:v>
                </c:pt>
                <c:pt idx="19">
                  <c:v>46.4</c:v>
                </c:pt>
                <c:pt idx="20">
                  <c:v>44.4</c:v>
                </c:pt>
                <c:pt idx="21">
                  <c:v>42.5</c:v>
                </c:pt>
                <c:pt idx="22">
                  <c:v>40.700000000000003</c:v>
                </c:pt>
                <c:pt idx="23">
                  <c:v>38.9</c:v>
                </c:pt>
                <c:pt idx="24">
                  <c:v>37.299999999999997</c:v>
                </c:pt>
                <c:pt idx="25">
                  <c:v>35.700000000000003</c:v>
                </c:pt>
                <c:pt idx="26">
                  <c:v>34.1</c:v>
                </c:pt>
                <c:pt idx="27">
                  <c:v>32.700000000000003</c:v>
                </c:pt>
                <c:pt idx="28" formatCode="General">
                  <c:v>31.2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27-451D-ADDD-75A3EB6C684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PDD'!$H$5:$H$33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</c:v>
                </c:pt>
                <c:pt idx="3">
                  <c:v>91.5</c:v>
                </c:pt>
                <c:pt idx="4">
                  <c:v>88</c:v>
                </c:pt>
                <c:pt idx="5">
                  <c:v>84.7</c:v>
                </c:pt>
                <c:pt idx="6">
                  <c:v>81.3</c:v>
                </c:pt>
                <c:pt idx="7">
                  <c:v>78.099999999999994</c:v>
                </c:pt>
                <c:pt idx="8">
                  <c:v>75.099999999999994</c:v>
                </c:pt>
                <c:pt idx="9">
                  <c:v>72.099999999999994</c:v>
                </c:pt>
                <c:pt idx="10">
                  <c:v>69.2</c:v>
                </c:pt>
                <c:pt idx="11">
                  <c:v>66.3</c:v>
                </c:pt>
                <c:pt idx="12">
                  <c:v>63.6</c:v>
                </c:pt>
                <c:pt idx="13">
                  <c:v>61</c:v>
                </c:pt>
                <c:pt idx="14">
                  <c:v>58.5</c:v>
                </c:pt>
                <c:pt idx="15">
                  <c:v>56.1</c:v>
                </c:pt>
                <c:pt idx="16">
                  <c:v>53.7</c:v>
                </c:pt>
                <c:pt idx="17">
                  <c:v>51.5</c:v>
                </c:pt>
                <c:pt idx="18">
                  <c:v>49.4</c:v>
                </c:pt>
                <c:pt idx="19">
                  <c:v>47.3</c:v>
                </c:pt>
                <c:pt idx="20">
                  <c:v>45.3</c:v>
                </c:pt>
                <c:pt idx="21">
                  <c:v>43.4</c:v>
                </c:pt>
                <c:pt idx="22">
                  <c:v>41.6</c:v>
                </c:pt>
                <c:pt idx="23">
                  <c:v>39.799999999999997</c:v>
                </c:pt>
                <c:pt idx="24">
                  <c:v>38.200000000000003</c:v>
                </c:pt>
                <c:pt idx="25">
                  <c:v>36.5</c:v>
                </c:pt>
                <c:pt idx="26">
                  <c:v>35</c:v>
                </c:pt>
                <c:pt idx="27">
                  <c:v>33.6</c:v>
                </c:pt>
                <c:pt idx="28" formatCode="General">
                  <c:v>32.1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A27-451D-ADDD-75A3EB6C684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PDD'!$I$5:$I$33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</c:v>
                </c:pt>
                <c:pt idx="3">
                  <c:v>91.6</c:v>
                </c:pt>
                <c:pt idx="4">
                  <c:v>88.2</c:v>
                </c:pt>
                <c:pt idx="5">
                  <c:v>84.9</c:v>
                </c:pt>
                <c:pt idx="6">
                  <c:v>81.599999999999994</c:v>
                </c:pt>
                <c:pt idx="7">
                  <c:v>78.400000000000006</c:v>
                </c:pt>
                <c:pt idx="8">
                  <c:v>75.5</c:v>
                </c:pt>
                <c:pt idx="9">
                  <c:v>72.5</c:v>
                </c:pt>
                <c:pt idx="10">
                  <c:v>69.599999999999994</c:v>
                </c:pt>
                <c:pt idx="11">
                  <c:v>66.900000000000006</c:v>
                </c:pt>
                <c:pt idx="12">
                  <c:v>64.2</c:v>
                </c:pt>
                <c:pt idx="13">
                  <c:v>61.6</c:v>
                </c:pt>
                <c:pt idx="14">
                  <c:v>59.1</c:v>
                </c:pt>
                <c:pt idx="15">
                  <c:v>56.7</c:v>
                </c:pt>
                <c:pt idx="16">
                  <c:v>54.4</c:v>
                </c:pt>
                <c:pt idx="17">
                  <c:v>52.2</c:v>
                </c:pt>
                <c:pt idx="18">
                  <c:v>50.1</c:v>
                </c:pt>
                <c:pt idx="19">
                  <c:v>48</c:v>
                </c:pt>
                <c:pt idx="20">
                  <c:v>46</c:v>
                </c:pt>
                <c:pt idx="21">
                  <c:v>44.1</c:v>
                </c:pt>
                <c:pt idx="22">
                  <c:v>42.2</c:v>
                </c:pt>
                <c:pt idx="23">
                  <c:v>40.5</c:v>
                </c:pt>
                <c:pt idx="24">
                  <c:v>38.799999999999997</c:v>
                </c:pt>
                <c:pt idx="25">
                  <c:v>37.200000000000003</c:v>
                </c:pt>
                <c:pt idx="26">
                  <c:v>35.700000000000003</c:v>
                </c:pt>
                <c:pt idx="27">
                  <c:v>34.200000000000003</c:v>
                </c:pt>
                <c:pt idx="28" formatCode="General">
                  <c:v>32.700000000000003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A27-451D-ADDD-75A3EB6C684F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PDD'!$J$5:$J$33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</c:v>
                </c:pt>
                <c:pt idx="3">
                  <c:v>91.7</c:v>
                </c:pt>
                <c:pt idx="4">
                  <c:v>88.4</c:v>
                </c:pt>
                <c:pt idx="5">
                  <c:v>85.1</c:v>
                </c:pt>
                <c:pt idx="6">
                  <c:v>81.8</c:v>
                </c:pt>
                <c:pt idx="7">
                  <c:v>78.7</c:v>
                </c:pt>
                <c:pt idx="8">
                  <c:v>75.8</c:v>
                </c:pt>
                <c:pt idx="9">
                  <c:v>72.8</c:v>
                </c:pt>
                <c:pt idx="10">
                  <c:v>70</c:v>
                </c:pt>
                <c:pt idx="11">
                  <c:v>67.3</c:v>
                </c:pt>
                <c:pt idx="12">
                  <c:v>64.7</c:v>
                </c:pt>
                <c:pt idx="13">
                  <c:v>62.1</c:v>
                </c:pt>
                <c:pt idx="14">
                  <c:v>59.6</c:v>
                </c:pt>
                <c:pt idx="15">
                  <c:v>57.3</c:v>
                </c:pt>
                <c:pt idx="16">
                  <c:v>54.9</c:v>
                </c:pt>
                <c:pt idx="17">
                  <c:v>52.7</c:v>
                </c:pt>
                <c:pt idx="18">
                  <c:v>50.6</c:v>
                </c:pt>
                <c:pt idx="19">
                  <c:v>48.5</c:v>
                </c:pt>
                <c:pt idx="20">
                  <c:v>46.5</c:v>
                </c:pt>
                <c:pt idx="21">
                  <c:v>44.6</c:v>
                </c:pt>
                <c:pt idx="22">
                  <c:v>42.7</c:v>
                </c:pt>
                <c:pt idx="23">
                  <c:v>41</c:v>
                </c:pt>
                <c:pt idx="24">
                  <c:v>39.299999999999997</c:v>
                </c:pt>
                <c:pt idx="25">
                  <c:v>37.700000000000003</c:v>
                </c:pt>
                <c:pt idx="26">
                  <c:v>36.200000000000003</c:v>
                </c:pt>
                <c:pt idx="27">
                  <c:v>34.700000000000003</c:v>
                </c:pt>
                <c:pt idx="28" formatCode="General">
                  <c:v>33.200000000000003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A27-451D-ADDD-75A3EB6C684F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PDD'!$K$5:$K$33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95.1</c:v>
                </c:pt>
                <c:pt idx="3">
                  <c:v>91.8</c:v>
                </c:pt>
                <c:pt idx="4">
                  <c:v>88.5</c:v>
                </c:pt>
                <c:pt idx="5">
                  <c:v>85.3</c:v>
                </c:pt>
                <c:pt idx="6">
                  <c:v>82</c:v>
                </c:pt>
                <c:pt idx="7">
                  <c:v>79</c:v>
                </c:pt>
                <c:pt idx="8">
                  <c:v>76.099999999999994</c:v>
                </c:pt>
                <c:pt idx="9">
                  <c:v>73.099999999999994</c:v>
                </c:pt>
                <c:pt idx="10">
                  <c:v>70.3</c:v>
                </c:pt>
                <c:pt idx="11">
                  <c:v>67.599999999999994</c:v>
                </c:pt>
                <c:pt idx="12">
                  <c:v>65</c:v>
                </c:pt>
                <c:pt idx="13">
                  <c:v>62.5</c:v>
                </c:pt>
                <c:pt idx="14">
                  <c:v>60</c:v>
                </c:pt>
                <c:pt idx="15">
                  <c:v>57.7</c:v>
                </c:pt>
                <c:pt idx="16">
                  <c:v>55.3</c:v>
                </c:pt>
                <c:pt idx="17">
                  <c:v>53.1</c:v>
                </c:pt>
                <c:pt idx="18">
                  <c:v>50.9</c:v>
                </c:pt>
                <c:pt idx="19">
                  <c:v>48.8</c:v>
                </c:pt>
                <c:pt idx="20">
                  <c:v>46.8</c:v>
                </c:pt>
                <c:pt idx="21">
                  <c:v>45</c:v>
                </c:pt>
                <c:pt idx="22">
                  <c:v>43.1</c:v>
                </c:pt>
                <c:pt idx="23">
                  <c:v>41.4</c:v>
                </c:pt>
                <c:pt idx="24">
                  <c:v>39.700000000000003</c:v>
                </c:pt>
                <c:pt idx="25">
                  <c:v>38.1</c:v>
                </c:pt>
                <c:pt idx="26">
                  <c:v>36.6</c:v>
                </c:pt>
                <c:pt idx="27">
                  <c:v>35.1</c:v>
                </c:pt>
                <c:pt idx="28" formatCode="General">
                  <c:v>33.6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A27-451D-ADDD-75A3EB6C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58368"/>
        <c:axId val="198473216"/>
      </c:scatterChart>
      <c:valAx>
        <c:axId val="19845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depth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73216"/>
        <c:crosses val="autoZero"/>
        <c:crossBetween val="midCat"/>
      </c:valAx>
      <c:valAx>
        <c:axId val="198473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pdd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583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144780</xdr:rowOff>
    </xdr:from>
    <xdr:to>
      <xdr:col>12</xdr:col>
      <xdr:colOff>0</xdr:colOff>
      <xdr:row>35</xdr:row>
      <xdr:rowOff>0</xdr:rowOff>
    </xdr:to>
    <xdr:graphicFrame macro="">
      <xdr:nvGraphicFramePr>
        <xdr:cNvPr id="26650" name="Chart 1">
          <a:extLst>
            <a:ext uri="{FF2B5EF4-FFF2-40B4-BE49-F238E27FC236}">
              <a16:creationId xmlns:a16="http://schemas.microsoft.com/office/drawing/2014/main" id="{00000000-0008-0000-0700-00001A6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31</xdr:row>
      <xdr:rowOff>129540</xdr:rowOff>
    </xdr:from>
    <xdr:to>
      <xdr:col>12</xdr:col>
      <xdr:colOff>0</xdr:colOff>
      <xdr:row>64</xdr:row>
      <xdr:rowOff>0</xdr:rowOff>
    </xdr:to>
    <xdr:graphicFrame macro="">
      <xdr:nvGraphicFramePr>
        <xdr:cNvPr id="28698" name="Chart 1">
          <a:extLst>
            <a:ext uri="{FF2B5EF4-FFF2-40B4-BE49-F238E27FC236}">
              <a16:creationId xmlns:a16="http://schemas.microsoft.com/office/drawing/2014/main" id="{00000000-0008-0000-0900-00001A7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ustom 1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5"/>
  <dimension ref="A1:AG49"/>
  <sheetViews>
    <sheetView showGridLines="0" topLeftCell="R1" zoomScaleNormal="100" workbookViewId="0">
      <selection activeCell="O20" sqref="O20"/>
    </sheetView>
  </sheetViews>
  <sheetFormatPr defaultRowHeight="12.45" x14ac:dyDescent="0.3"/>
  <cols>
    <col min="1" max="1" width="11.765625" customWidth="1"/>
    <col min="2" max="6" width="7.69140625" customWidth="1"/>
    <col min="7" max="7" width="7.69140625" style="79" customWidth="1"/>
    <col min="8" max="8" width="11.765625" customWidth="1"/>
    <col min="9" max="14" width="7.69140625" customWidth="1"/>
    <col min="15" max="22" width="9.765625" customWidth="1"/>
    <col min="30" max="33" width="8.84375" style="36"/>
  </cols>
  <sheetData>
    <row r="1" spans="1:33" s="223" customFormat="1" ht="30" customHeight="1" x14ac:dyDescent="0.4">
      <c r="A1" s="523" t="s">
        <v>31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220"/>
      <c r="O1" s="526" t="s">
        <v>65</v>
      </c>
      <c r="P1" s="527"/>
      <c r="Q1" s="527"/>
      <c r="R1" s="527"/>
      <c r="S1" s="527"/>
      <c r="T1" s="528"/>
      <c r="AD1" s="317"/>
      <c r="AE1" s="317"/>
      <c r="AF1" s="317"/>
      <c r="AG1" s="317"/>
    </row>
    <row r="2" spans="1:33" s="223" customFormat="1" ht="30" customHeight="1" x14ac:dyDescent="0.4">
      <c r="A2" s="541" t="s">
        <v>126</v>
      </c>
      <c r="B2" s="541"/>
      <c r="C2" s="541"/>
      <c r="D2" s="541"/>
      <c r="E2" s="541"/>
      <c r="F2" s="541"/>
      <c r="G2" s="541"/>
      <c r="H2" s="541"/>
      <c r="I2" s="541"/>
      <c r="J2" s="541"/>
      <c r="K2" s="541"/>
      <c r="L2" s="541"/>
      <c r="M2" s="541"/>
      <c r="N2" s="220"/>
      <c r="O2" s="529"/>
      <c r="P2" s="530"/>
      <c r="Q2" s="530"/>
      <c r="R2" s="530"/>
      <c r="S2" s="530"/>
      <c r="T2" s="531"/>
      <c r="AD2" s="317"/>
      <c r="AE2" s="317"/>
      <c r="AF2" s="317"/>
      <c r="AG2" s="317"/>
    </row>
    <row r="3" spans="1:33" s="223" customFormat="1" ht="30" customHeight="1" thickBot="1" x14ac:dyDescent="0.45">
      <c r="A3" s="525" t="s">
        <v>116</v>
      </c>
      <c r="B3" s="525"/>
      <c r="C3" s="525"/>
      <c r="D3" s="525"/>
      <c r="E3" s="525"/>
      <c r="F3" s="525"/>
      <c r="G3" s="525"/>
      <c r="H3" s="525"/>
      <c r="I3" s="525"/>
      <c r="J3" s="525"/>
      <c r="K3" s="525"/>
      <c r="L3" s="525"/>
      <c r="M3" s="525"/>
      <c r="N3" s="220"/>
      <c r="O3" s="548" t="s">
        <v>23</v>
      </c>
      <c r="P3" s="549"/>
      <c r="Q3" s="549"/>
      <c r="R3" s="549"/>
      <c r="S3" s="549"/>
      <c r="T3" s="550"/>
      <c r="AD3" s="317"/>
      <c r="AE3" s="317"/>
      <c r="AF3" s="317"/>
      <c r="AG3" s="317"/>
    </row>
    <row r="4" spans="1:33" s="223" customFormat="1" ht="30" customHeight="1" thickTop="1" thickBot="1" x14ac:dyDescent="0.45">
      <c r="A4" s="542" t="s">
        <v>104</v>
      </c>
      <c r="B4" s="543"/>
      <c r="C4" s="543"/>
      <c r="D4" s="543"/>
      <c r="E4" s="543"/>
      <c r="F4" s="544"/>
      <c r="G4" s="299"/>
      <c r="H4" s="542" t="s">
        <v>103</v>
      </c>
      <c r="I4" s="543"/>
      <c r="J4" s="543"/>
      <c r="K4" s="543"/>
      <c r="L4" s="543"/>
      <c r="M4" s="544"/>
      <c r="N4" s="220"/>
      <c r="O4" s="221"/>
      <c r="P4" s="226"/>
      <c r="Q4" s="367"/>
      <c r="R4" s="367"/>
      <c r="S4" s="367"/>
      <c r="T4" s="367"/>
      <c r="AD4" s="317"/>
      <c r="AE4" s="317"/>
      <c r="AF4" s="317"/>
      <c r="AG4" s="317"/>
    </row>
    <row r="5" spans="1:33" s="223" customFormat="1" ht="16.100000000000001" customHeight="1" thickTop="1" x14ac:dyDescent="0.4">
      <c r="A5" s="476"/>
      <c r="B5" s="477"/>
      <c r="C5" s="477"/>
      <c r="D5" s="477"/>
      <c r="E5" s="477"/>
      <c r="F5" s="478"/>
      <c r="G5" s="299"/>
      <c r="H5" s="489"/>
      <c r="I5" s="490"/>
      <c r="J5" s="490"/>
      <c r="K5" s="490"/>
      <c r="L5" s="490"/>
      <c r="M5" s="491"/>
      <c r="N5" s="220"/>
      <c r="O5" s="551" t="s">
        <v>76</v>
      </c>
      <c r="P5" s="552"/>
      <c r="Q5" s="552"/>
      <c r="R5" s="552"/>
      <c r="S5" s="552"/>
      <c r="T5" s="553"/>
      <c r="AD5" s="317"/>
      <c r="AE5" s="317"/>
      <c r="AF5" s="317"/>
      <c r="AG5" s="317"/>
    </row>
    <row r="6" spans="1:33" s="223" customFormat="1" ht="25.95" customHeight="1" thickBot="1" x14ac:dyDescent="0.45">
      <c r="A6" s="532" t="s">
        <v>66</v>
      </c>
      <c r="B6" s="533"/>
      <c r="C6" s="533"/>
      <c r="D6" s="533"/>
      <c r="E6" s="533"/>
      <c r="F6" s="534"/>
      <c r="G6" s="299"/>
      <c r="H6" s="532" t="s">
        <v>66</v>
      </c>
      <c r="I6" s="533"/>
      <c r="J6" s="533"/>
      <c r="K6" s="533"/>
      <c r="L6" s="533"/>
      <c r="M6" s="534"/>
      <c r="N6" s="220"/>
      <c r="O6" s="554"/>
      <c r="P6" s="555"/>
      <c r="Q6" s="555"/>
      <c r="R6" s="555"/>
      <c r="S6" s="555"/>
      <c r="T6" s="556"/>
      <c r="U6" s="297"/>
      <c r="V6" s="297"/>
      <c r="W6" s="297"/>
      <c r="X6" s="297"/>
      <c r="Y6" s="297"/>
      <c r="Z6" s="372"/>
      <c r="AD6" s="317"/>
      <c r="AE6" s="317"/>
      <c r="AF6" s="317"/>
      <c r="AG6" s="317"/>
    </row>
    <row r="7" spans="1:33" s="223" customFormat="1" ht="18" customHeight="1" x14ac:dyDescent="0.4">
      <c r="A7" s="535" t="s">
        <v>79</v>
      </c>
      <c r="B7" s="536"/>
      <c r="C7" s="536"/>
      <c r="D7" s="536"/>
      <c r="E7" s="536"/>
      <c r="F7" s="537"/>
      <c r="G7" s="299"/>
      <c r="H7" s="535" t="s">
        <v>79</v>
      </c>
      <c r="I7" s="536"/>
      <c r="J7" s="536"/>
      <c r="K7" s="536"/>
      <c r="L7" s="536"/>
      <c r="M7" s="537"/>
      <c r="N7" s="220"/>
      <c r="O7" s="221"/>
      <c r="P7" s="222"/>
      <c r="Q7" s="222"/>
      <c r="T7" s="297"/>
      <c r="U7" s="297"/>
      <c r="V7" s="297"/>
      <c r="W7" s="297"/>
      <c r="X7" s="297"/>
      <c r="Y7" s="297"/>
      <c r="Z7" s="372"/>
      <c r="AD7" s="317"/>
      <c r="AE7" s="317"/>
      <c r="AF7" s="317"/>
      <c r="AG7" s="317"/>
    </row>
    <row r="8" spans="1:33" s="223" customFormat="1" ht="18" customHeight="1" x14ac:dyDescent="0.4">
      <c r="A8" s="479"/>
      <c r="B8" s="322" t="s">
        <v>67</v>
      </c>
      <c r="C8" s="333">
        <v>1292</v>
      </c>
      <c r="D8" s="324" t="s">
        <v>68</v>
      </c>
      <c r="E8" s="323"/>
      <c r="F8" s="480"/>
      <c r="G8" s="299"/>
      <c r="H8" s="479"/>
      <c r="I8" s="322" t="s">
        <v>67</v>
      </c>
      <c r="J8" s="333">
        <v>131</v>
      </c>
      <c r="K8" s="324" t="s">
        <v>68</v>
      </c>
      <c r="L8" s="323"/>
      <c r="M8" s="480"/>
      <c r="N8" s="220"/>
      <c r="AD8" s="317"/>
      <c r="AE8" s="317"/>
      <c r="AF8" s="317"/>
      <c r="AG8" s="317"/>
    </row>
    <row r="9" spans="1:33" s="223" customFormat="1" ht="18" customHeight="1" thickBot="1" x14ac:dyDescent="0.45">
      <c r="A9" s="481"/>
      <c r="B9" s="539" t="s">
        <v>69</v>
      </c>
      <c r="C9" s="539"/>
      <c r="D9" s="539"/>
      <c r="E9" s="327"/>
      <c r="F9" s="482"/>
      <c r="G9" s="299"/>
      <c r="H9" s="538" t="s">
        <v>69</v>
      </c>
      <c r="I9" s="539"/>
      <c r="J9" s="539"/>
      <c r="K9" s="539"/>
      <c r="L9" s="539"/>
      <c r="M9" s="540"/>
      <c r="N9" s="220"/>
      <c r="U9" s="361"/>
      <c r="AD9" s="317"/>
      <c r="AE9" s="317"/>
      <c r="AF9" s="317"/>
      <c r="AG9" s="317"/>
    </row>
    <row r="10" spans="1:33" s="223" customFormat="1" ht="18" customHeight="1" x14ac:dyDescent="0.4">
      <c r="A10" s="483"/>
      <c r="B10" s="320"/>
      <c r="C10" s="320"/>
      <c r="D10" s="320"/>
      <c r="E10" s="318"/>
      <c r="F10" s="484"/>
      <c r="G10" s="319"/>
      <c r="H10" s="487"/>
      <c r="I10" s="320"/>
      <c r="J10" s="320"/>
      <c r="K10" s="320"/>
      <c r="L10" s="320"/>
      <c r="M10" s="488"/>
      <c r="N10" s="233"/>
      <c r="U10" s="367"/>
      <c r="V10" s="367"/>
      <c r="W10" s="367"/>
      <c r="X10" s="367"/>
      <c r="Y10" s="367"/>
      <c r="AD10" s="317"/>
      <c r="AE10" s="317"/>
      <c r="AF10" s="317"/>
      <c r="AG10" s="317"/>
    </row>
    <row r="11" spans="1:33" ht="25.95" customHeight="1" thickBot="1" x14ac:dyDescent="0.35">
      <c r="A11" s="545" t="s">
        <v>98</v>
      </c>
      <c r="B11" s="546"/>
      <c r="C11" s="546"/>
      <c r="D11" s="546"/>
      <c r="E11" s="546"/>
      <c r="F11" s="547"/>
      <c r="G11" s="34"/>
      <c r="H11" s="545" t="s">
        <v>98</v>
      </c>
      <c r="I11" s="546"/>
      <c r="J11" s="546"/>
      <c r="K11" s="546"/>
      <c r="L11" s="546"/>
      <c r="M11" s="547"/>
      <c r="N11" s="34"/>
      <c r="O11" s="568" t="s">
        <v>119</v>
      </c>
      <c r="P11" s="568"/>
      <c r="Q11" s="568"/>
      <c r="R11" s="568"/>
      <c r="S11" s="568"/>
      <c r="T11" s="568"/>
      <c r="U11" s="146"/>
    </row>
    <row r="12" spans="1:33" ht="19.95" customHeight="1" thickTop="1" thickBot="1" x14ac:dyDescent="0.35">
      <c r="A12" s="256" t="s">
        <v>97</v>
      </c>
      <c r="B12" s="257">
        <v>1</v>
      </c>
      <c r="C12" s="257">
        <v>2</v>
      </c>
      <c r="D12" s="257">
        <v>3</v>
      </c>
      <c r="E12" s="309">
        <v>4</v>
      </c>
      <c r="F12" s="262">
        <v>5</v>
      </c>
      <c r="G12" s="294"/>
      <c r="H12" s="256" t="s">
        <v>97</v>
      </c>
      <c r="I12" s="311">
        <v>4</v>
      </c>
      <c r="J12" s="312">
        <v>5</v>
      </c>
      <c r="K12" s="312">
        <v>6</v>
      </c>
      <c r="L12" s="312">
        <v>8</v>
      </c>
      <c r="M12" s="313">
        <v>10</v>
      </c>
      <c r="N12" s="111"/>
      <c r="U12" s="146"/>
    </row>
    <row r="13" spans="1:33" ht="19.95" customHeight="1" thickTop="1" thickBot="1" x14ac:dyDescent="0.35">
      <c r="A13" s="424" t="s">
        <v>83</v>
      </c>
      <c r="B13" s="351">
        <v>0.81200000000000006</v>
      </c>
      <c r="C13" s="351">
        <v>0.89200000000000002</v>
      </c>
      <c r="D13" s="351">
        <v>0.94299999999999995</v>
      </c>
      <c r="E13" s="352">
        <v>0.98499999999999999</v>
      </c>
      <c r="F13" s="354">
        <v>1</v>
      </c>
      <c r="G13" s="308"/>
      <c r="H13" s="424" t="s">
        <v>83</v>
      </c>
      <c r="I13" s="353">
        <v>0.96799999999999997</v>
      </c>
      <c r="J13" s="351">
        <v>1</v>
      </c>
      <c r="K13" s="351">
        <v>1.0249999999999999</v>
      </c>
      <c r="L13" s="351">
        <v>1.0569999999999999</v>
      </c>
      <c r="M13" s="354">
        <v>1.073</v>
      </c>
      <c r="N13" s="112"/>
      <c r="U13" s="375"/>
      <c r="V13" s="310"/>
      <c r="W13" s="310"/>
      <c r="X13" s="310"/>
      <c r="Y13" s="310"/>
    </row>
    <row r="14" spans="1:33" ht="19.95" customHeight="1" thickTop="1" thickBot="1" x14ac:dyDescent="0.35">
      <c r="A14" s="496"/>
      <c r="B14" s="497" t="s">
        <v>102</v>
      </c>
      <c r="C14" s="44"/>
      <c r="D14" s="44"/>
      <c r="E14" s="44"/>
      <c r="F14" s="495"/>
      <c r="G14" s="308"/>
      <c r="H14" s="496"/>
      <c r="I14" s="497" t="s">
        <v>102</v>
      </c>
      <c r="J14" s="44"/>
      <c r="K14" s="44"/>
      <c r="L14" s="44"/>
      <c r="M14" s="495"/>
      <c r="N14" s="112"/>
      <c r="O14" s="569" t="s">
        <v>18</v>
      </c>
      <c r="P14" s="570"/>
      <c r="Q14" s="570"/>
      <c r="R14" s="373" t="s">
        <v>80</v>
      </c>
      <c r="S14" s="368"/>
      <c r="T14" s="369"/>
      <c r="U14" s="375"/>
      <c r="V14" s="310"/>
      <c r="W14" s="310"/>
      <c r="X14" s="310"/>
      <c r="Y14" s="310"/>
    </row>
    <row r="15" spans="1:33" ht="19.95" customHeight="1" x14ac:dyDescent="0.3">
      <c r="A15" s="485"/>
      <c r="B15" s="518"/>
      <c r="C15" s="518"/>
      <c r="D15" s="518"/>
      <c r="E15" s="518"/>
      <c r="F15" s="519"/>
      <c r="H15" s="485"/>
      <c r="I15" s="518"/>
      <c r="J15" s="518"/>
      <c r="K15" s="518"/>
      <c r="L15" s="518"/>
      <c r="M15" s="519"/>
      <c r="N15" s="112"/>
      <c r="O15" s="565"/>
      <c r="P15" s="566"/>
      <c r="Q15" s="567"/>
      <c r="R15" s="520"/>
      <c r="S15" s="521"/>
      <c r="T15" s="522"/>
      <c r="U15" s="375"/>
      <c r="V15" s="310"/>
      <c r="W15" s="310"/>
      <c r="X15" s="310"/>
      <c r="Y15" s="310"/>
    </row>
    <row r="16" spans="1:33" ht="25.95" customHeight="1" thickBot="1" x14ac:dyDescent="0.35">
      <c r="A16" s="545" t="s">
        <v>72</v>
      </c>
      <c r="B16" s="546"/>
      <c r="C16" s="546"/>
      <c r="D16" s="546"/>
      <c r="E16" s="546"/>
      <c r="F16" s="547"/>
      <c r="G16" s="34"/>
      <c r="H16" s="545" t="s">
        <v>72</v>
      </c>
      <c r="I16" s="546"/>
      <c r="J16" s="546"/>
      <c r="K16" s="546"/>
      <c r="L16" s="546"/>
      <c r="M16" s="547"/>
      <c r="N16" s="112"/>
      <c r="O16" s="565" t="s">
        <v>95</v>
      </c>
      <c r="P16" s="566"/>
      <c r="Q16" s="567"/>
      <c r="R16" s="520" t="s">
        <v>96</v>
      </c>
      <c r="S16" s="521"/>
      <c r="T16" s="522"/>
      <c r="U16" s="375"/>
      <c r="V16" s="310"/>
      <c r="W16" s="310"/>
      <c r="X16" s="310"/>
      <c r="Y16" s="310"/>
    </row>
    <row r="17" spans="1:33" ht="19.95" customHeight="1" thickTop="1" thickBot="1" x14ac:dyDescent="0.35">
      <c r="A17" s="340" t="s">
        <v>54</v>
      </c>
      <c r="B17" s="261">
        <v>1</v>
      </c>
      <c r="C17" s="257">
        <v>2</v>
      </c>
      <c r="D17" s="257">
        <v>3</v>
      </c>
      <c r="E17" s="309">
        <v>4</v>
      </c>
      <c r="F17" s="262">
        <v>5</v>
      </c>
      <c r="G17" s="294"/>
      <c r="H17" s="340" t="s">
        <v>54</v>
      </c>
      <c r="I17" s="344">
        <v>4</v>
      </c>
      <c r="J17" s="312">
        <v>5</v>
      </c>
      <c r="K17" s="312">
        <v>6</v>
      </c>
      <c r="L17" s="312">
        <v>8</v>
      </c>
      <c r="M17" s="313">
        <v>10</v>
      </c>
      <c r="N17" s="112"/>
      <c r="O17" s="405"/>
      <c r="P17" s="377"/>
      <c r="Q17" s="415"/>
      <c r="R17" s="419"/>
      <c r="S17" s="380"/>
      <c r="T17" s="408"/>
      <c r="U17" s="375"/>
      <c r="V17" s="310"/>
      <c r="W17" s="310"/>
      <c r="X17" s="310"/>
      <c r="Y17" s="310"/>
    </row>
    <row r="18" spans="1:33" ht="19.95" customHeight="1" thickTop="1" thickBot="1" x14ac:dyDescent="0.35">
      <c r="A18" s="341" t="s">
        <v>81</v>
      </c>
      <c r="B18" s="345">
        <v>1.105</v>
      </c>
      <c r="C18" s="346">
        <v>1.1599999999999999</v>
      </c>
      <c r="D18" s="346">
        <v>1.1870000000000001</v>
      </c>
      <c r="E18" s="347">
        <v>1.204</v>
      </c>
      <c r="F18" s="348">
        <v>1.216</v>
      </c>
      <c r="G18" s="308"/>
      <c r="H18" s="341" t="s">
        <v>81</v>
      </c>
      <c r="I18" s="342">
        <v>1.22</v>
      </c>
      <c r="J18" s="334">
        <v>1.238</v>
      </c>
      <c r="K18" s="334">
        <v>1.25</v>
      </c>
      <c r="L18" s="334">
        <v>1.26</v>
      </c>
      <c r="M18" s="335">
        <v>1.2649999999999999</v>
      </c>
      <c r="N18" s="112"/>
      <c r="O18" s="384" t="s">
        <v>35</v>
      </c>
      <c r="P18" s="401" t="s">
        <v>1</v>
      </c>
      <c r="Q18" s="376" t="s">
        <v>45</v>
      </c>
      <c r="R18" s="386" t="s">
        <v>35</v>
      </c>
      <c r="S18" s="387" t="s">
        <v>1</v>
      </c>
      <c r="T18" s="388" t="s">
        <v>45</v>
      </c>
      <c r="U18" s="381"/>
      <c r="V18" s="310"/>
      <c r="W18" s="310"/>
      <c r="X18" s="310"/>
      <c r="Y18" s="310"/>
    </row>
    <row r="19" spans="1:33" ht="19.95" customHeight="1" thickBot="1" x14ac:dyDescent="0.35">
      <c r="A19" s="359" t="s">
        <v>82</v>
      </c>
      <c r="B19" s="339">
        <v>0.90871710526315785</v>
      </c>
      <c r="C19" s="336">
        <v>0.95394736842105254</v>
      </c>
      <c r="D19" s="336">
        <v>0.97615131578947378</v>
      </c>
      <c r="E19" s="336">
        <v>0.99013157894736836</v>
      </c>
      <c r="F19" s="337">
        <v>1</v>
      </c>
      <c r="G19" s="308"/>
      <c r="H19" s="359" t="s">
        <v>82</v>
      </c>
      <c r="I19" s="343">
        <v>0.98546042003231016</v>
      </c>
      <c r="J19" s="336">
        <v>1</v>
      </c>
      <c r="K19" s="336">
        <v>1.0096930533117932</v>
      </c>
      <c r="L19" s="336">
        <v>1.0177705977382876</v>
      </c>
      <c r="M19" s="337">
        <v>1.0218093699515347</v>
      </c>
      <c r="N19" s="34"/>
      <c r="O19" s="399">
        <v>2.4</v>
      </c>
      <c r="P19" s="402">
        <f>Interpolate1DRowTable(O19,B17:F18)</f>
        <v>1.1708000000000001</v>
      </c>
      <c r="Q19" s="389">
        <f>P19/F18</f>
        <v>0.96282894736842117</v>
      </c>
      <c r="R19" s="399">
        <v>5</v>
      </c>
      <c r="S19" s="393">
        <f>Interpolate1DRowTable(R19,I17:M18)</f>
        <v>1.238</v>
      </c>
      <c r="T19" s="378">
        <f>S19/J18</f>
        <v>1</v>
      </c>
      <c r="U19" s="381"/>
      <c r="V19" s="2"/>
    </row>
    <row r="20" spans="1:33" s="223" customFormat="1" ht="19.95" customHeight="1" thickTop="1" x14ac:dyDescent="0.4">
      <c r="A20" s="483"/>
      <c r="B20" s="320"/>
      <c r="C20" s="320"/>
      <c r="D20" s="320"/>
      <c r="E20" s="318"/>
      <c r="F20" s="484"/>
      <c r="G20" s="299"/>
      <c r="H20" s="486"/>
      <c r="I20" s="477"/>
      <c r="J20" s="477"/>
      <c r="K20" s="477"/>
      <c r="L20" s="477"/>
      <c r="M20" s="478"/>
      <c r="N20" s="220"/>
      <c r="O20" s="405"/>
      <c r="P20" s="406"/>
      <c r="Q20" s="414"/>
      <c r="R20" s="418"/>
      <c r="S20" s="382"/>
      <c r="T20" s="407"/>
      <c r="U20" s="367"/>
      <c r="V20" s="367"/>
      <c r="W20" s="367"/>
      <c r="X20" s="367"/>
      <c r="Y20" s="367"/>
      <c r="AD20" s="317"/>
      <c r="AE20" s="317"/>
      <c r="AF20" s="317"/>
      <c r="AG20" s="317"/>
    </row>
    <row r="21" spans="1:33" ht="25.95" customHeight="1" thickBot="1" x14ac:dyDescent="0.35">
      <c r="A21" s="545" t="s">
        <v>53</v>
      </c>
      <c r="B21" s="546"/>
      <c r="C21" s="546"/>
      <c r="D21" s="546"/>
      <c r="E21" s="546"/>
      <c r="F21" s="547"/>
      <c r="G21" s="307"/>
      <c r="H21" s="545" t="s">
        <v>53</v>
      </c>
      <c r="I21" s="546"/>
      <c r="J21" s="546"/>
      <c r="K21" s="546"/>
      <c r="L21" s="546"/>
      <c r="M21" s="547"/>
      <c r="N21" s="210"/>
      <c r="O21" s="405"/>
      <c r="P21" s="406"/>
      <c r="Q21" s="414"/>
      <c r="R21" s="418"/>
      <c r="S21" s="382"/>
      <c r="T21" s="407"/>
      <c r="U21" s="297"/>
      <c r="V21" s="297"/>
      <c r="W21" s="297"/>
      <c r="X21" s="297"/>
      <c r="Y21" s="297"/>
    </row>
    <row r="22" spans="1:33" ht="19.95" customHeight="1" thickTop="1" thickBot="1" x14ac:dyDescent="0.35">
      <c r="A22" s="256" t="s">
        <v>54</v>
      </c>
      <c r="B22" s="257">
        <v>1</v>
      </c>
      <c r="C22" s="257">
        <v>2</v>
      </c>
      <c r="D22" s="257">
        <v>3</v>
      </c>
      <c r="E22" s="309">
        <v>4</v>
      </c>
      <c r="F22" s="262">
        <v>5</v>
      </c>
      <c r="G22" s="294"/>
      <c r="H22" s="256" t="s">
        <v>54</v>
      </c>
      <c r="I22" s="311">
        <v>4</v>
      </c>
      <c r="J22" s="312">
        <v>5</v>
      </c>
      <c r="K22" s="312">
        <v>6</v>
      </c>
      <c r="L22" s="312">
        <v>8</v>
      </c>
      <c r="M22" s="313">
        <v>10</v>
      </c>
      <c r="N22" s="111"/>
      <c r="O22" s="409"/>
      <c r="P22" s="379"/>
      <c r="Q22" s="416"/>
      <c r="R22" s="419"/>
      <c r="S22" s="380"/>
      <c r="T22" s="408"/>
      <c r="U22" s="381"/>
      <c r="V22" s="2"/>
    </row>
    <row r="23" spans="1:33" ht="19.95" customHeight="1" thickTop="1" thickBot="1" x14ac:dyDescent="0.35">
      <c r="A23" s="427" t="s">
        <v>93</v>
      </c>
      <c r="B23" s="259">
        <f>B22</f>
        <v>1</v>
      </c>
      <c r="C23" s="259">
        <f>C22</f>
        <v>2</v>
      </c>
      <c r="D23" s="259">
        <f>D22</f>
        <v>3</v>
      </c>
      <c r="E23" s="314">
        <f>E22</f>
        <v>4</v>
      </c>
      <c r="F23" s="260">
        <f>F22</f>
        <v>5</v>
      </c>
      <c r="G23" s="294"/>
      <c r="H23" s="430" t="s">
        <v>93</v>
      </c>
      <c r="I23" s="258">
        <f>I22</f>
        <v>4</v>
      </c>
      <c r="J23" s="259">
        <f>J22</f>
        <v>5</v>
      </c>
      <c r="K23" s="259">
        <f>K22</f>
        <v>6</v>
      </c>
      <c r="L23" s="259">
        <f>L22</f>
        <v>8</v>
      </c>
      <c r="M23" s="260">
        <f>M22</f>
        <v>10</v>
      </c>
      <c r="N23" s="111"/>
      <c r="O23" s="391" t="s">
        <v>2</v>
      </c>
      <c r="P23" s="385" t="s">
        <v>35</v>
      </c>
      <c r="Q23" s="392" t="s">
        <v>24</v>
      </c>
      <c r="R23" s="396" t="s">
        <v>2</v>
      </c>
      <c r="S23" s="388" t="s">
        <v>35</v>
      </c>
      <c r="T23" s="397" t="s">
        <v>24</v>
      </c>
      <c r="U23" s="358"/>
      <c r="V23" s="2"/>
      <c r="AD23" s="60"/>
      <c r="AF23" s="60"/>
      <c r="AG23" s="60"/>
    </row>
    <row r="24" spans="1:33" ht="19.95" customHeight="1" thickBot="1" x14ac:dyDescent="0.4">
      <c r="A24" s="428">
        <v>0</v>
      </c>
      <c r="B24" s="23">
        <v>100</v>
      </c>
      <c r="C24" s="23">
        <v>100</v>
      </c>
      <c r="D24" s="23">
        <v>100</v>
      </c>
      <c r="E24" s="315">
        <v>100</v>
      </c>
      <c r="F24" s="29">
        <v>100</v>
      </c>
      <c r="G24" s="34"/>
      <c r="H24" s="428">
        <v>0</v>
      </c>
      <c r="I24" s="22">
        <v>100</v>
      </c>
      <c r="J24" s="23">
        <v>100</v>
      </c>
      <c r="K24" s="23">
        <v>100</v>
      </c>
      <c r="L24" s="23">
        <v>100</v>
      </c>
      <c r="M24" s="29">
        <v>100</v>
      </c>
      <c r="N24" s="3"/>
      <c r="O24" s="400">
        <v>4</v>
      </c>
      <c r="P24" s="395">
        <v>3</v>
      </c>
      <c r="Q24" s="390" cm="1">
        <f t="array" ref="Q24">Interpolate2DTable(O24,P24,A23:F35)</f>
        <v>22.2</v>
      </c>
      <c r="R24" s="394">
        <v>4</v>
      </c>
      <c r="S24" s="395">
        <v>6</v>
      </c>
      <c r="T24" s="398" cm="1">
        <f t="array" ref="T24">Interpolate2DTable(R24,S24,H23:M35)</f>
        <v>36.200000000000003</v>
      </c>
      <c r="U24" s="383"/>
      <c r="V24" s="2"/>
      <c r="AD24" s="60"/>
      <c r="AE24" s="60"/>
    </row>
    <row r="25" spans="1:33" ht="19.95" customHeight="1" thickBot="1" x14ac:dyDescent="0.4">
      <c r="A25" s="428">
        <v>0.5</v>
      </c>
      <c r="B25" s="23">
        <v>77.2</v>
      </c>
      <c r="C25" s="23">
        <v>81.2</v>
      </c>
      <c r="D25" s="23">
        <v>83.1</v>
      </c>
      <c r="E25" s="315">
        <v>84.1</v>
      </c>
      <c r="F25" s="29">
        <v>84.9</v>
      </c>
      <c r="G25" s="34"/>
      <c r="H25" s="428">
        <v>0.5</v>
      </c>
      <c r="I25" s="22">
        <v>88.7</v>
      </c>
      <c r="J25" s="23">
        <v>89.5</v>
      </c>
      <c r="K25" s="23">
        <v>90</v>
      </c>
      <c r="L25" s="23">
        <v>90.9</v>
      </c>
      <c r="M25" s="29">
        <v>91.6</v>
      </c>
      <c r="N25" s="3"/>
      <c r="O25" s="410"/>
      <c r="P25" s="411"/>
      <c r="Q25" s="417"/>
      <c r="R25" s="420"/>
      <c r="S25" s="412"/>
      <c r="T25" s="413"/>
      <c r="U25" s="381"/>
      <c r="V25" s="2"/>
      <c r="W25" s="500"/>
      <c r="X25" s="500"/>
      <c r="Y25" s="500"/>
      <c r="Z25" s="500"/>
      <c r="AA25" s="500"/>
    </row>
    <row r="26" spans="1:33" ht="19.95" customHeight="1" x14ac:dyDescent="0.35">
      <c r="A26" s="428">
        <v>1</v>
      </c>
      <c r="B26" s="23">
        <v>60.5</v>
      </c>
      <c r="C26" s="23">
        <v>66.7</v>
      </c>
      <c r="D26" s="23">
        <v>69.2</v>
      </c>
      <c r="E26" s="315">
        <v>70.8</v>
      </c>
      <c r="F26" s="29">
        <v>71.900000000000006</v>
      </c>
      <c r="G26" s="34"/>
      <c r="H26" s="428">
        <v>1</v>
      </c>
      <c r="I26" s="22">
        <v>78.5</v>
      </c>
      <c r="J26" s="23">
        <v>79.7</v>
      </c>
      <c r="K26" s="23">
        <v>80.5</v>
      </c>
      <c r="L26" s="23">
        <v>81.900000000000006</v>
      </c>
      <c r="M26" s="29">
        <v>82.5</v>
      </c>
      <c r="N26" s="3"/>
      <c r="W26" s="500"/>
      <c r="X26" s="500"/>
      <c r="Y26" s="500"/>
      <c r="Z26" s="500"/>
      <c r="AA26" s="500"/>
    </row>
    <row r="27" spans="1:33" ht="19.95" customHeight="1" x14ac:dyDescent="0.35">
      <c r="A27" s="428">
        <v>2</v>
      </c>
      <c r="B27" s="23">
        <v>38.1</v>
      </c>
      <c r="C27" s="23">
        <v>44.3</v>
      </c>
      <c r="D27" s="23">
        <v>47.3</v>
      </c>
      <c r="E27" s="315">
        <v>49.1</v>
      </c>
      <c r="F27" s="29">
        <v>50.1</v>
      </c>
      <c r="G27" s="34"/>
      <c r="H27" s="428">
        <v>2</v>
      </c>
      <c r="I27" s="22">
        <v>59.8</v>
      </c>
      <c r="J27" s="23">
        <v>61</v>
      </c>
      <c r="K27" s="23">
        <v>61.7</v>
      </c>
      <c r="L27" s="23">
        <v>63</v>
      </c>
      <c r="M27" s="29">
        <v>64.099999999999994</v>
      </c>
      <c r="N27" s="3"/>
      <c r="W27" s="500"/>
      <c r="X27" s="500"/>
      <c r="Y27" s="500"/>
      <c r="Z27" s="500"/>
      <c r="AA27" s="500"/>
    </row>
    <row r="28" spans="1:33" ht="19.95" customHeight="1" x14ac:dyDescent="0.35">
      <c r="A28" s="428">
        <v>3</v>
      </c>
      <c r="B28" s="23">
        <v>24.5</v>
      </c>
      <c r="C28" s="23">
        <v>29.6</v>
      </c>
      <c r="D28" s="23">
        <v>32.4</v>
      </c>
      <c r="E28" s="315">
        <v>34.200000000000003</v>
      </c>
      <c r="F28" s="29">
        <v>35.299999999999997</v>
      </c>
      <c r="G28" s="34"/>
      <c r="H28" s="428">
        <v>3</v>
      </c>
      <c r="I28" s="22">
        <v>44.7</v>
      </c>
      <c r="J28" s="23">
        <v>46.2</v>
      </c>
      <c r="K28" s="23">
        <v>47.1</v>
      </c>
      <c r="L28" s="23">
        <v>48.8</v>
      </c>
      <c r="M28" s="29">
        <v>50.2</v>
      </c>
      <c r="N28" s="3"/>
      <c r="W28" s="500"/>
      <c r="X28" s="500"/>
      <c r="Y28" s="500"/>
      <c r="Z28" s="500"/>
      <c r="AA28" s="500"/>
    </row>
    <row r="29" spans="1:33" ht="19.95" customHeight="1" x14ac:dyDescent="0.35">
      <c r="A29" s="428">
        <v>4</v>
      </c>
      <c r="B29" s="23">
        <v>16.3</v>
      </c>
      <c r="C29" s="23">
        <v>19.8</v>
      </c>
      <c r="D29" s="23">
        <v>22.2</v>
      </c>
      <c r="E29" s="315">
        <v>24</v>
      </c>
      <c r="F29" s="29">
        <v>25.2</v>
      </c>
      <c r="G29" s="34"/>
      <c r="H29" s="428">
        <v>4</v>
      </c>
      <c r="I29" s="22">
        <v>33.5</v>
      </c>
      <c r="J29" s="23">
        <v>35.200000000000003</v>
      </c>
      <c r="K29" s="23">
        <v>36.200000000000003</v>
      </c>
      <c r="L29" s="23">
        <v>38.200000000000003</v>
      </c>
      <c r="M29" s="29">
        <v>39.6</v>
      </c>
      <c r="N29" s="3"/>
      <c r="W29" s="500"/>
      <c r="X29" s="500"/>
      <c r="Y29" s="500"/>
      <c r="Z29" s="500"/>
      <c r="AA29" s="500"/>
    </row>
    <row r="30" spans="1:33" ht="19.95" customHeight="1" x14ac:dyDescent="0.35">
      <c r="A30" s="428">
        <v>5</v>
      </c>
      <c r="B30" s="23">
        <v>11.1</v>
      </c>
      <c r="C30" s="23">
        <v>13.8</v>
      </c>
      <c r="D30" s="23">
        <v>15.8</v>
      </c>
      <c r="E30" s="315">
        <v>17.5</v>
      </c>
      <c r="F30" s="29">
        <v>18.7</v>
      </c>
      <c r="G30" s="34"/>
      <c r="H30" s="428">
        <v>5</v>
      </c>
      <c r="I30" s="22">
        <v>25.4</v>
      </c>
      <c r="J30" s="23">
        <v>27.2</v>
      </c>
      <c r="K30" s="23">
        <v>28.4</v>
      </c>
      <c r="L30" s="23">
        <v>30.4</v>
      </c>
      <c r="M30" s="29">
        <v>31.5</v>
      </c>
      <c r="N30" s="3"/>
      <c r="W30" s="500"/>
      <c r="X30" s="500"/>
      <c r="Y30" s="500"/>
      <c r="Z30" s="500"/>
      <c r="AA30" s="500"/>
    </row>
    <row r="31" spans="1:33" ht="27.65" customHeight="1" x14ac:dyDescent="0.35">
      <c r="A31" s="428">
        <v>6</v>
      </c>
      <c r="B31" s="23">
        <v>7.7</v>
      </c>
      <c r="C31" s="23">
        <v>9.9</v>
      </c>
      <c r="D31" s="23">
        <v>11.5</v>
      </c>
      <c r="E31" s="315">
        <v>13</v>
      </c>
      <c r="F31" s="29">
        <v>14</v>
      </c>
      <c r="G31" s="34"/>
      <c r="H31" s="428">
        <v>6</v>
      </c>
      <c r="I31" s="22">
        <v>19.7</v>
      </c>
      <c r="J31" s="23">
        <v>21.2</v>
      </c>
      <c r="K31" s="23">
        <v>22.4</v>
      </c>
      <c r="L31" s="23">
        <v>24.5</v>
      </c>
      <c r="M31" s="29">
        <v>25.5</v>
      </c>
      <c r="N31" s="3"/>
      <c r="W31" s="500"/>
      <c r="X31" s="500"/>
      <c r="Y31" s="500"/>
      <c r="Z31" s="500"/>
      <c r="AA31" s="500"/>
    </row>
    <row r="32" spans="1:33" ht="19.95" customHeight="1" x14ac:dyDescent="0.35">
      <c r="A32" s="428">
        <v>7</v>
      </c>
      <c r="B32" s="23">
        <v>5.4</v>
      </c>
      <c r="C32" s="23">
        <v>7.2</v>
      </c>
      <c r="D32" s="23">
        <v>8.6</v>
      </c>
      <c r="E32" s="315">
        <v>9.8000000000000007</v>
      </c>
      <c r="F32" s="29">
        <v>10.7</v>
      </c>
      <c r="G32" s="34"/>
      <c r="H32" s="428">
        <v>7</v>
      </c>
      <c r="I32" s="22">
        <v>15.4</v>
      </c>
      <c r="J32" s="23">
        <v>16.8</v>
      </c>
      <c r="K32" s="23">
        <v>17.899999999999999</v>
      </c>
      <c r="L32" s="23">
        <v>19.8</v>
      </c>
      <c r="M32" s="29">
        <v>21.2</v>
      </c>
      <c r="N32" s="3"/>
      <c r="W32" s="500"/>
      <c r="X32" s="500"/>
      <c r="Y32" s="500"/>
      <c r="Z32" s="500"/>
      <c r="AA32" s="500"/>
    </row>
    <row r="33" spans="1:33" ht="19.95" customHeight="1" x14ac:dyDescent="0.35">
      <c r="A33" s="428">
        <v>8</v>
      </c>
      <c r="B33" s="23">
        <v>3.8</v>
      </c>
      <c r="C33" s="23">
        <v>5.3</v>
      </c>
      <c r="D33" s="23">
        <v>6.5</v>
      </c>
      <c r="E33" s="315">
        <v>7.5</v>
      </c>
      <c r="F33" s="29">
        <v>8.1999999999999993</v>
      </c>
      <c r="G33" s="34"/>
      <c r="H33" s="428">
        <v>8</v>
      </c>
      <c r="I33" s="22">
        <v>12.1</v>
      </c>
      <c r="J33" s="23">
        <v>13.3</v>
      </c>
      <c r="K33" s="23">
        <v>14.2</v>
      </c>
      <c r="L33" s="23">
        <v>15.9</v>
      </c>
      <c r="M33" s="29">
        <v>17.100000000000001</v>
      </c>
      <c r="N33" s="3"/>
      <c r="W33" s="500"/>
      <c r="X33" s="500"/>
      <c r="Y33" s="500"/>
      <c r="Z33" s="500"/>
      <c r="AA33" s="500"/>
    </row>
    <row r="34" spans="1:33" ht="19.95" customHeight="1" x14ac:dyDescent="0.35">
      <c r="A34" s="428">
        <v>9</v>
      </c>
      <c r="B34" s="23">
        <v>2.9</v>
      </c>
      <c r="C34" s="23">
        <v>4</v>
      </c>
      <c r="D34" s="23">
        <v>4.9000000000000004</v>
      </c>
      <c r="E34" s="315">
        <v>5.8</v>
      </c>
      <c r="F34" s="29">
        <v>6.4</v>
      </c>
      <c r="G34" s="34"/>
      <c r="H34" s="428">
        <v>9</v>
      </c>
      <c r="I34" s="22">
        <v>9.6</v>
      </c>
      <c r="J34" s="23">
        <v>10.6</v>
      </c>
      <c r="K34" s="23">
        <v>11.4</v>
      </c>
      <c r="L34" s="23">
        <v>12.9</v>
      </c>
      <c r="M34" s="29">
        <v>14.1</v>
      </c>
      <c r="N34" s="3"/>
      <c r="W34" s="500"/>
      <c r="X34" s="500"/>
      <c r="Y34" s="500"/>
      <c r="Z34" s="500"/>
      <c r="AA34" s="500"/>
    </row>
    <row r="35" spans="1:33" ht="19.95" customHeight="1" thickBot="1" x14ac:dyDescent="0.4">
      <c r="A35" s="429">
        <v>10</v>
      </c>
      <c r="B35" s="31">
        <v>2</v>
      </c>
      <c r="C35" s="31">
        <v>3</v>
      </c>
      <c r="D35" s="31">
        <v>3.8</v>
      </c>
      <c r="E35" s="316">
        <v>4.4000000000000004</v>
      </c>
      <c r="F35" s="32">
        <v>4.9000000000000004</v>
      </c>
      <c r="G35" s="34"/>
      <c r="H35" s="429">
        <v>10</v>
      </c>
      <c r="I35" s="30">
        <v>7.6</v>
      </c>
      <c r="J35" s="31">
        <v>8.5</v>
      </c>
      <c r="K35" s="31">
        <v>9.1</v>
      </c>
      <c r="L35" s="31">
        <v>10.4</v>
      </c>
      <c r="M35" s="32">
        <v>11.5</v>
      </c>
      <c r="N35" s="3"/>
      <c r="W35" s="500"/>
      <c r="X35" s="500"/>
      <c r="Y35" s="500"/>
      <c r="Z35" s="500"/>
      <c r="AA35" s="500"/>
    </row>
    <row r="36" spans="1:33" ht="18" customHeight="1" thickTop="1" x14ac:dyDescent="0.3">
      <c r="A36" s="209"/>
      <c r="B36" s="34"/>
      <c r="C36" s="34"/>
      <c r="D36" s="34"/>
      <c r="E36" s="34"/>
      <c r="F36" s="34"/>
      <c r="G36" s="34"/>
      <c r="H36" s="34"/>
      <c r="I36" s="562"/>
      <c r="J36" s="563"/>
      <c r="K36" s="563"/>
      <c r="L36" s="563"/>
      <c r="M36" s="563"/>
      <c r="N36" s="34"/>
    </row>
    <row r="37" spans="1:33" ht="18" customHeight="1" x14ac:dyDescent="0.3">
      <c r="A37" s="318"/>
      <c r="B37" s="320"/>
      <c r="C37" s="320"/>
      <c r="D37" s="320"/>
      <c r="E37" s="318"/>
      <c r="F37" s="318"/>
      <c r="G37" s="301"/>
      <c r="H37" s="301"/>
      <c r="I37" s="302"/>
      <c r="J37" s="295"/>
      <c r="K37" s="295"/>
      <c r="L37" s="295"/>
      <c r="M37" s="295"/>
      <c r="N37" s="34"/>
    </row>
    <row r="38" spans="1:33" ht="22.85" customHeight="1" x14ac:dyDescent="0.3">
      <c r="A38" s="332" t="s">
        <v>70</v>
      </c>
      <c r="B38" s="24">
        <v>1049</v>
      </c>
      <c r="C38" s="24">
        <v>1153</v>
      </c>
      <c r="D38" s="24">
        <v>1219</v>
      </c>
      <c r="E38" s="24">
        <v>1272</v>
      </c>
      <c r="F38" s="24">
        <v>1292</v>
      </c>
      <c r="G38" s="296"/>
      <c r="H38" s="296"/>
      <c r="I38" s="152">
        <v>126.8</v>
      </c>
      <c r="J38" s="152">
        <v>131</v>
      </c>
      <c r="K38" s="152">
        <v>134.30000000000001</v>
      </c>
      <c r="L38" s="152">
        <v>138.5</v>
      </c>
      <c r="M38" s="152">
        <v>140.6</v>
      </c>
      <c r="N38" s="34"/>
      <c r="O38" s="1"/>
      <c r="P38" s="1"/>
      <c r="Q38" s="1"/>
      <c r="R38" s="1"/>
      <c r="T38" s="1"/>
      <c r="U38" s="1"/>
      <c r="V38" s="1"/>
      <c r="W38" s="1"/>
    </row>
    <row r="39" spans="1:33" s="1" customFormat="1" ht="15.9" customHeight="1" x14ac:dyDescent="0.3">
      <c r="A39" s="33"/>
      <c r="B39" s="329"/>
      <c r="D39" s="330"/>
      <c r="E39" s="34"/>
      <c r="F39" s="34"/>
      <c r="G39" s="34"/>
      <c r="H39" s="34"/>
      <c r="I39" s="329"/>
      <c r="J39" s="293"/>
      <c r="K39" s="559"/>
      <c r="L39" s="564"/>
      <c r="M39" s="34"/>
      <c r="N39" s="34"/>
      <c r="T39" s="150"/>
      <c r="U39" s="150"/>
      <c r="V39" s="150"/>
      <c r="W39" s="150"/>
      <c r="X39" s="150"/>
      <c r="AD39" s="5"/>
      <c r="AE39" s="5"/>
      <c r="AF39" s="5"/>
      <c r="AG39" s="5"/>
    </row>
    <row r="40" spans="1:33" s="1" customFormat="1" ht="15.9" customHeight="1" x14ac:dyDescent="0.3">
      <c r="A40" s="33" t="s">
        <v>71</v>
      </c>
      <c r="B40" s="133">
        <f>B38/$F38</f>
        <v>0.8119195046439629</v>
      </c>
      <c r="C40" s="133">
        <f t="shared" ref="C40:F40" si="0">C38/$F38</f>
        <v>0.89241486068111453</v>
      </c>
      <c r="D40" s="133">
        <f t="shared" si="0"/>
        <v>0.94349845201238391</v>
      </c>
      <c r="E40" s="133">
        <f t="shared" si="0"/>
        <v>0.98452012383900933</v>
      </c>
      <c r="F40" s="133">
        <f t="shared" si="0"/>
        <v>1</v>
      </c>
      <c r="G40" s="34"/>
      <c r="H40" s="34"/>
      <c r="I40" s="135">
        <f>I38/$J38</f>
        <v>0.96793893129770991</v>
      </c>
      <c r="J40" s="135">
        <f t="shared" ref="J40:M40" si="1">J38/$J38</f>
        <v>1</v>
      </c>
      <c r="K40" s="135">
        <f t="shared" si="1"/>
        <v>1.0251908396946565</v>
      </c>
      <c r="L40" s="135">
        <f t="shared" si="1"/>
        <v>1.0572519083969465</v>
      </c>
      <c r="M40" s="135">
        <f t="shared" si="1"/>
        <v>1.0732824427480916</v>
      </c>
      <c r="N40" s="34"/>
      <c r="O40" s="34"/>
      <c r="P40" s="111"/>
      <c r="Q40" s="111"/>
      <c r="R40" s="111"/>
      <c r="T40" s="150"/>
      <c r="U40" s="557"/>
      <c r="V40" s="559"/>
      <c r="W40" s="150"/>
      <c r="X40" s="35"/>
      <c r="AD40" s="5"/>
      <c r="AE40" s="5"/>
      <c r="AF40" s="5"/>
      <c r="AG40" s="5"/>
    </row>
    <row r="41" spans="1:33" s="1" customFormat="1" ht="15.9" customHeight="1" x14ac:dyDescent="0.4">
      <c r="A41" s="33" t="s">
        <v>73</v>
      </c>
      <c r="B41" s="306"/>
      <c r="D41" s="331"/>
      <c r="E41" s="34"/>
      <c r="F41" s="34"/>
      <c r="G41" s="34"/>
      <c r="H41" s="34"/>
      <c r="I41" s="560"/>
      <c r="J41" s="560"/>
      <c r="K41" s="560"/>
      <c r="L41" s="561"/>
      <c r="N41" s="34"/>
      <c r="O41" s="33"/>
      <c r="P41" s="151"/>
      <c r="Q41" s="151"/>
      <c r="R41" s="151"/>
      <c r="T41" s="150"/>
      <c r="U41" s="558"/>
      <c r="V41" s="558"/>
      <c r="W41" s="150"/>
      <c r="X41" s="35"/>
      <c r="AD41" s="5"/>
      <c r="AE41" s="5"/>
      <c r="AF41" s="5"/>
      <c r="AG41" s="5"/>
    </row>
    <row r="42" spans="1:33" s="1" customFormat="1" ht="15.9" customHeight="1" x14ac:dyDescent="0.35">
      <c r="A42" s="35"/>
      <c r="B42" s="306"/>
      <c r="D42" s="331"/>
      <c r="E42" s="35"/>
      <c r="F42" s="35"/>
      <c r="G42" s="35"/>
      <c r="H42" s="35"/>
      <c r="I42" s="306"/>
      <c r="J42" s="306"/>
      <c r="K42" s="306"/>
      <c r="L42" s="350"/>
      <c r="N42" s="35"/>
      <c r="O42" s="33"/>
      <c r="P42" s="151"/>
      <c r="Q42" s="151"/>
      <c r="R42" s="151"/>
      <c r="T42" s="150"/>
      <c r="U42" s="300"/>
      <c r="V42" s="300"/>
      <c r="W42" s="150"/>
      <c r="X42" s="300"/>
      <c r="AD42" s="5"/>
      <c r="AE42" s="5"/>
      <c r="AF42" s="5"/>
      <c r="AG42" s="5"/>
    </row>
    <row r="43" spans="1:33" s="1" customFormat="1" ht="15.9" customHeight="1" x14ac:dyDescent="0.4">
      <c r="A43" s="349" t="s">
        <v>74</v>
      </c>
      <c r="B43" s="44">
        <f>B40/B19</f>
        <v>0.89347883949960083</v>
      </c>
      <c r="C43" s="44">
        <f>C40/C19</f>
        <v>0.93549695740365113</v>
      </c>
      <c r="D43" s="44">
        <f>D40/D19</f>
        <v>0.96654938302195348</v>
      </c>
      <c r="E43" s="44">
        <f>E40/E19</f>
        <v>0.9943326167676374</v>
      </c>
      <c r="F43" s="44">
        <f>F40/F19</f>
        <v>1</v>
      </c>
      <c r="G43" s="44"/>
      <c r="H43" s="44"/>
      <c r="I43" s="44">
        <f>I40/I19</f>
        <v>0.98221999749718436</v>
      </c>
      <c r="J43" s="44">
        <f>J40/J19</f>
        <v>1</v>
      </c>
      <c r="K43" s="44">
        <f>K40/K19</f>
        <v>1.0153490076335878</v>
      </c>
      <c r="L43" s="44">
        <f>L40/L19</f>
        <v>1.0387919544408093</v>
      </c>
      <c r="M43" s="44">
        <f>M40/M19</f>
        <v>1.0503744380412154</v>
      </c>
      <c r="N43" s="35"/>
      <c r="O43" s="33"/>
      <c r="P43" s="151"/>
      <c r="Q43" s="151"/>
      <c r="R43" s="151"/>
      <c r="T43" s="150"/>
      <c r="U43" s="300"/>
      <c r="V43" s="300"/>
      <c r="W43" s="150"/>
      <c r="X43" s="300"/>
      <c r="AD43" s="5"/>
      <c r="AE43" s="5"/>
      <c r="AF43" s="5"/>
      <c r="AG43" s="5"/>
    </row>
    <row r="44" spans="1:33" s="1" customFormat="1" ht="15.9" customHeight="1" x14ac:dyDescent="0.35">
      <c r="A44" s="35"/>
      <c r="B44" s="306"/>
      <c r="D44" s="331"/>
      <c r="E44" s="35"/>
      <c r="F44" s="35"/>
      <c r="G44" s="35"/>
      <c r="H44" s="35"/>
      <c r="I44" s="306"/>
      <c r="J44" s="306"/>
      <c r="K44" s="306"/>
      <c r="L44" s="350"/>
      <c r="N44" s="35"/>
      <c r="O44" s="33"/>
      <c r="P44" s="151"/>
      <c r="Q44" s="151"/>
      <c r="R44" s="151"/>
      <c r="T44" s="150"/>
      <c r="U44" s="300"/>
      <c r="V44" s="300"/>
      <c r="W44" s="150"/>
      <c r="X44" s="300"/>
      <c r="AD44" s="5"/>
      <c r="AE44" s="5"/>
      <c r="AF44" s="5"/>
      <c r="AG44" s="5"/>
    </row>
    <row r="45" spans="1:33" s="1" customFormat="1" ht="15.9" customHeight="1" x14ac:dyDescent="0.4">
      <c r="A45" s="33" t="s">
        <v>75</v>
      </c>
      <c r="B45" s="306">
        <f>B40*$C8</f>
        <v>1049</v>
      </c>
      <c r="C45" s="306">
        <f>C40*$C8</f>
        <v>1153</v>
      </c>
      <c r="D45" s="306">
        <f>D40*$C8</f>
        <v>1219</v>
      </c>
      <c r="E45" s="306">
        <f>E40*$C8</f>
        <v>1272</v>
      </c>
      <c r="F45" s="306">
        <f>F40*$C8</f>
        <v>1292</v>
      </c>
      <c r="G45" s="35"/>
      <c r="H45" s="35"/>
      <c r="I45" s="152">
        <f>I40*$J8</f>
        <v>126.8</v>
      </c>
      <c r="J45" s="152">
        <f>J40*$J8</f>
        <v>131</v>
      </c>
      <c r="K45" s="152">
        <f>K40*$J8</f>
        <v>134.30000000000001</v>
      </c>
      <c r="L45" s="152">
        <f>L40*$J8</f>
        <v>138.5</v>
      </c>
      <c r="M45" s="152">
        <f>M40*$J8</f>
        <v>140.6</v>
      </c>
      <c r="N45" s="35"/>
      <c r="O45" s="33"/>
      <c r="P45" s="151"/>
      <c r="Q45" s="151"/>
      <c r="R45" s="151"/>
      <c r="T45" s="150"/>
      <c r="U45" s="300"/>
      <c r="V45" s="300"/>
      <c r="W45" s="150"/>
      <c r="X45" s="300"/>
      <c r="AD45" s="5"/>
      <c r="AE45" s="5"/>
      <c r="AF45" s="5"/>
      <c r="AG45" s="5"/>
    </row>
    <row r="46" spans="1:33" s="1" customFormat="1" ht="15.9" customHeight="1" x14ac:dyDescent="0.35">
      <c r="A46" s="35"/>
      <c r="B46" s="305"/>
      <c r="C46" s="305"/>
      <c r="D46" s="305"/>
      <c r="E46" s="35"/>
      <c r="F46" s="35"/>
      <c r="G46" s="35"/>
      <c r="H46" s="35"/>
      <c r="I46" s="35"/>
      <c r="N46" s="35"/>
      <c r="O46" s="33"/>
      <c r="P46" s="151"/>
      <c r="Q46" s="151"/>
      <c r="R46" s="151"/>
      <c r="T46" s="150"/>
      <c r="U46" s="300"/>
      <c r="V46" s="300"/>
      <c r="W46" s="150"/>
      <c r="X46" s="300"/>
      <c r="AD46" s="5"/>
      <c r="AE46" s="5"/>
      <c r="AF46" s="5"/>
      <c r="AG46" s="5"/>
    </row>
    <row r="47" spans="1:33" s="1" customFormat="1" ht="15.9" customHeight="1" x14ac:dyDescent="0.35">
      <c r="A47" s="35"/>
      <c r="B47" s="305"/>
      <c r="C47" s="305"/>
      <c r="D47" s="305"/>
      <c r="E47" s="35"/>
      <c r="F47" s="35"/>
      <c r="G47" s="35"/>
      <c r="H47" s="35"/>
      <c r="I47" s="35"/>
      <c r="N47" s="35"/>
      <c r="O47" s="33"/>
      <c r="P47" s="151"/>
      <c r="Q47" s="151"/>
      <c r="R47" s="151"/>
      <c r="T47" s="150"/>
      <c r="U47" s="300"/>
      <c r="V47" s="300"/>
      <c r="W47" s="150"/>
      <c r="X47" s="150"/>
      <c r="AD47" s="5"/>
      <c r="AE47" s="5"/>
      <c r="AF47" s="5"/>
      <c r="AG47" s="5"/>
    </row>
    <row r="48" spans="1:33" x14ac:dyDescent="0.3">
      <c r="K48" s="10"/>
    </row>
    <row r="49" spans="11:11" x14ac:dyDescent="0.3">
      <c r="K49" s="10"/>
    </row>
  </sheetData>
  <mergeCells count="32">
    <mergeCell ref="U40:U41"/>
    <mergeCell ref="V40:V41"/>
    <mergeCell ref="A11:F11"/>
    <mergeCell ref="B9:D9"/>
    <mergeCell ref="H11:M11"/>
    <mergeCell ref="I41:J41"/>
    <mergeCell ref="K41:L41"/>
    <mergeCell ref="I36:M36"/>
    <mergeCell ref="K39:L39"/>
    <mergeCell ref="O16:Q16"/>
    <mergeCell ref="R16:T16"/>
    <mergeCell ref="O11:T11"/>
    <mergeCell ref="O14:Q14"/>
    <mergeCell ref="O15:Q15"/>
    <mergeCell ref="A21:F21"/>
    <mergeCell ref="H21:M21"/>
    <mergeCell ref="A16:F16"/>
    <mergeCell ref="H16:M16"/>
    <mergeCell ref="O3:T3"/>
    <mergeCell ref="O5:T6"/>
    <mergeCell ref="R15:T15"/>
    <mergeCell ref="A1:M1"/>
    <mergeCell ref="A3:M3"/>
    <mergeCell ref="O1:T2"/>
    <mergeCell ref="A6:F6"/>
    <mergeCell ref="A7:F7"/>
    <mergeCell ref="H6:M6"/>
    <mergeCell ref="H7:M7"/>
    <mergeCell ref="H9:M9"/>
    <mergeCell ref="A2:M2"/>
    <mergeCell ref="A4:F4"/>
    <mergeCell ref="H4:M4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AD88"/>
  <sheetViews>
    <sheetView showGridLines="0" zoomScaleNormal="100" workbookViewId="0">
      <selection activeCell="A2" sqref="A2:M2"/>
    </sheetView>
  </sheetViews>
  <sheetFormatPr defaultRowHeight="12.45" x14ac:dyDescent="0.3"/>
  <cols>
    <col min="1" max="1" width="9.84375" customWidth="1"/>
    <col min="2" max="13" width="8.23046875" customWidth="1"/>
  </cols>
  <sheetData>
    <row r="1" spans="1:30" s="223" customFormat="1" ht="30" customHeight="1" x14ac:dyDescent="0.4">
      <c r="A1" s="523" t="s">
        <v>7</v>
      </c>
      <c r="B1" s="523"/>
      <c r="C1" s="523"/>
      <c r="D1" s="523"/>
      <c r="E1" s="523"/>
      <c r="F1" s="523"/>
      <c r="G1" s="523"/>
      <c r="H1" s="523"/>
      <c r="I1" s="523"/>
      <c r="J1" s="523"/>
      <c r="K1" s="523"/>
      <c r="L1" s="523"/>
      <c r="M1" s="523"/>
      <c r="N1" s="220"/>
    </row>
    <row r="2" spans="1:30" s="223" customFormat="1" ht="30" customHeight="1" thickBot="1" x14ac:dyDescent="0.45">
      <c r="A2" s="541" t="s">
        <v>126</v>
      </c>
      <c r="B2" s="541"/>
      <c r="C2" s="541"/>
      <c r="D2" s="541"/>
      <c r="E2" s="541"/>
      <c r="F2" s="541"/>
      <c r="G2" s="541"/>
      <c r="H2" s="541"/>
      <c r="I2" s="541"/>
      <c r="J2" s="541"/>
      <c r="K2" s="541"/>
      <c r="L2" s="541"/>
      <c r="M2" s="541"/>
      <c r="N2" s="220"/>
    </row>
    <row r="3" spans="1:30" s="223" customFormat="1" ht="30" customHeight="1" thickBot="1" x14ac:dyDescent="0.45">
      <c r="A3" s="589" t="s">
        <v>124</v>
      </c>
      <c r="B3" s="590"/>
      <c r="C3" s="590"/>
      <c r="D3" s="590"/>
      <c r="E3" s="591"/>
      <c r="F3" s="513"/>
      <c r="G3" s="299"/>
      <c r="H3" s="589" t="s">
        <v>125</v>
      </c>
      <c r="I3" s="590"/>
      <c r="J3" s="590"/>
      <c r="K3" s="590"/>
      <c r="L3" s="591"/>
      <c r="M3" s="513"/>
      <c r="N3" s="220"/>
      <c r="O3" s="571" t="s">
        <v>94</v>
      </c>
      <c r="P3" s="572"/>
      <c r="Q3" s="572"/>
      <c r="R3" s="572"/>
      <c r="S3" s="572"/>
      <c r="T3" s="573"/>
    </row>
    <row r="4" spans="1:30" s="223" customFormat="1" ht="25.85" customHeight="1" x14ac:dyDescent="0.4">
      <c r="A4" s="586" t="s">
        <v>120</v>
      </c>
      <c r="B4" s="587"/>
      <c r="C4" s="587"/>
      <c r="D4" s="587"/>
      <c r="E4" s="588"/>
      <c r="F4" s="514"/>
      <c r="G4" s="319"/>
      <c r="H4" s="586" t="s">
        <v>122</v>
      </c>
      <c r="I4" s="587"/>
      <c r="J4" s="587"/>
      <c r="K4" s="587"/>
      <c r="L4" s="588"/>
      <c r="M4" s="514"/>
      <c r="N4" s="220"/>
    </row>
    <row r="5" spans="1:30" s="223" customFormat="1" ht="24.65" customHeight="1" thickBot="1" x14ac:dyDescent="0.45">
      <c r="A5" s="592" t="s">
        <v>121</v>
      </c>
      <c r="B5" s="593"/>
      <c r="C5" s="593"/>
      <c r="D5" s="593"/>
      <c r="E5" s="594"/>
      <c r="F5" s="514"/>
      <c r="G5" s="319"/>
      <c r="H5" s="592" t="s">
        <v>123</v>
      </c>
      <c r="I5" s="593"/>
      <c r="J5" s="593"/>
      <c r="K5" s="593"/>
      <c r="L5" s="594"/>
      <c r="M5" s="514"/>
      <c r="N5" s="220"/>
    </row>
    <row r="6" spans="1:30" s="223" customFormat="1" ht="19.95" customHeight="1" x14ac:dyDescent="0.4">
      <c r="A6" s="298"/>
      <c r="B6" s="299"/>
      <c r="C6" s="299"/>
      <c r="D6" s="299"/>
      <c r="E6" s="299"/>
      <c r="F6" s="299"/>
      <c r="G6" s="299"/>
      <c r="H6" s="299"/>
      <c r="I6" s="299"/>
      <c r="J6" s="299"/>
      <c r="K6" s="299"/>
      <c r="L6" s="299"/>
      <c r="M6" s="299"/>
      <c r="N6" s="220"/>
      <c r="O6" s="222"/>
      <c r="P6" s="222"/>
    </row>
    <row r="7" spans="1:30" s="223" customFormat="1" ht="25.95" customHeight="1" thickBot="1" x14ac:dyDescent="0.45">
      <c r="A7" s="533" t="s">
        <v>66</v>
      </c>
      <c r="B7" s="533"/>
      <c r="C7" s="533"/>
      <c r="D7" s="533"/>
      <c r="E7" s="533"/>
      <c r="F7" s="512"/>
      <c r="G7" s="299"/>
      <c r="H7" s="533" t="s">
        <v>66</v>
      </c>
      <c r="I7" s="533"/>
      <c r="J7" s="533"/>
      <c r="K7" s="533"/>
      <c r="L7" s="533"/>
      <c r="M7" s="512"/>
      <c r="N7" s="220"/>
    </row>
    <row r="8" spans="1:30" s="223" customFormat="1" ht="19.95" customHeight="1" x14ac:dyDescent="0.4">
      <c r="A8" s="509"/>
      <c r="B8" s="510" t="s">
        <v>79</v>
      </c>
      <c r="C8" s="510"/>
      <c r="D8" s="510"/>
      <c r="E8" s="511"/>
      <c r="F8" s="507"/>
      <c r="G8" s="299"/>
      <c r="H8" s="595" t="s">
        <v>77</v>
      </c>
      <c r="I8" s="596"/>
      <c r="J8" s="596"/>
      <c r="K8" s="596"/>
      <c r="L8" s="597"/>
      <c r="M8" s="507"/>
      <c r="N8" s="220"/>
      <c r="O8" s="222"/>
      <c r="P8" s="222"/>
    </row>
    <row r="9" spans="1:30" s="223" customFormat="1" ht="19.95" customHeight="1" x14ac:dyDescent="0.4">
      <c r="A9" s="321"/>
      <c r="B9" s="322" t="s">
        <v>67</v>
      </c>
      <c r="C9" s="333">
        <v>60.5</v>
      </c>
      <c r="D9" s="324" t="s">
        <v>68</v>
      </c>
      <c r="E9" s="325"/>
      <c r="F9" s="318"/>
      <c r="G9" s="299"/>
      <c r="H9" s="321"/>
      <c r="I9" s="322" t="s">
        <v>67</v>
      </c>
      <c r="J9" s="333">
        <v>61.7</v>
      </c>
      <c r="K9" s="324" t="s">
        <v>68</v>
      </c>
      <c r="L9" s="325"/>
      <c r="M9" s="318"/>
      <c r="N9" s="220"/>
      <c r="O9" s="222"/>
      <c r="P9" s="222"/>
      <c r="T9" s="297"/>
    </row>
    <row r="10" spans="1:30" s="223" customFormat="1" ht="19.95" customHeight="1" thickBot="1" x14ac:dyDescent="0.45">
      <c r="A10" s="326"/>
      <c r="B10" s="539" t="s">
        <v>69</v>
      </c>
      <c r="C10" s="539"/>
      <c r="D10" s="539"/>
      <c r="E10" s="328"/>
      <c r="F10" s="318"/>
      <c r="G10" s="299"/>
      <c r="H10" s="598" t="s">
        <v>69</v>
      </c>
      <c r="I10" s="539"/>
      <c r="J10" s="539"/>
      <c r="K10" s="539"/>
      <c r="L10" s="599"/>
      <c r="M10" s="508"/>
      <c r="N10" s="220"/>
    </row>
    <row r="11" spans="1:30" s="223" customFormat="1" ht="18" customHeight="1" x14ac:dyDescent="0.4">
      <c r="A11" s="318"/>
      <c r="B11" s="320"/>
      <c r="C11" s="320"/>
      <c r="D11" s="320"/>
      <c r="E11" s="318"/>
      <c r="F11" s="318"/>
      <c r="G11" s="319"/>
      <c r="H11" s="320"/>
      <c r="I11" s="320"/>
      <c r="J11" s="320"/>
      <c r="K11" s="320"/>
      <c r="L11" s="320"/>
      <c r="M11" s="320"/>
      <c r="N11" s="233"/>
      <c r="O11" s="372"/>
      <c r="P11" s="372"/>
      <c r="Q11" s="372"/>
      <c r="R11" s="372"/>
      <c r="S11" s="372"/>
      <c r="T11" s="372"/>
    </row>
    <row r="12" spans="1:30" s="223" customFormat="1" ht="26.4" customHeight="1" thickBot="1" x14ac:dyDescent="0.45">
      <c r="A12" s="575" t="s">
        <v>98</v>
      </c>
      <c r="B12" s="575"/>
      <c r="C12" s="575"/>
      <c r="D12" s="575"/>
      <c r="E12" s="575"/>
      <c r="F12" s="575"/>
      <c r="G12" s="231"/>
      <c r="H12" s="575" t="s">
        <v>100</v>
      </c>
      <c r="I12" s="575"/>
      <c r="J12" s="575"/>
      <c r="K12" s="575"/>
      <c r="L12" s="575"/>
      <c r="M12" s="575"/>
      <c r="N12" s="233"/>
      <c r="O12" s="568" t="s">
        <v>119</v>
      </c>
      <c r="P12" s="568"/>
      <c r="Q12" s="568"/>
      <c r="R12" s="568"/>
      <c r="S12" s="568"/>
      <c r="T12" s="568"/>
      <c r="U12" s="506"/>
      <c r="V12" s="506"/>
      <c r="W12" s="506"/>
      <c r="X12" s="506"/>
      <c r="Y12" s="506"/>
      <c r="Z12" s="506"/>
      <c r="AA12" s="506"/>
      <c r="AB12" s="506"/>
      <c r="AC12" s="506"/>
      <c r="AD12" s="506"/>
    </row>
    <row r="13" spans="1:30" s="223" customFormat="1" ht="19.95" customHeight="1" thickTop="1" thickBot="1" x14ac:dyDescent="0.45">
      <c r="A13" s="318"/>
      <c r="B13" s="432" t="s">
        <v>99</v>
      </c>
      <c r="C13" s="578" t="s">
        <v>83</v>
      </c>
      <c r="D13" s="579"/>
      <c r="F13" s="318"/>
      <c r="H13" s="576" t="s">
        <v>90</v>
      </c>
      <c r="I13" s="577"/>
      <c r="J13" s="433" t="s">
        <v>91</v>
      </c>
      <c r="K13" s="580" t="s">
        <v>92</v>
      </c>
      <c r="L13" s="579"/>
      <c r="O13" s="574"/>
      <c r="P13" s="574"/>
      <c r="Q13" s="150"/>
      <c r="R13" s="574"/>
      <c r="S13" s="574"/>
      <c r="T13" s="150"/>
      <c r="U13" s="506"/>
      <c r="V13" s="506"/>
      <c r="W13" s="506"/>
      <c r="Z13" s="506"/>
      <c r="AA13" s="506"/>
      <c r="AB13" s="506"/>
      <c r="AC13" s="506"/>
      <c r="AD13" s="506"/>
    </row>
    <row r="14" spans="1:30" s="223" customFormat="1" ht="19.95" customHeight="1" thickTop="1" x14ac:dyDescent="0.4">
      <c r="A14" s="318"/>
      <c r="B14" s="515">
        <v>1</v>
      </c>
      <c r="C14" s="610">
        <v>0.82699999999999996</v>
      </c>
      <c r="D14" s="611"/>
      <c r="F14" s="318"/>
      <c r="H14" s="434" t="s">
        <v>89</v>
      </c>
      <c r="I14" s="436">
        <v>5</v>
      </c>
      <c r="J14" s="503">
        <v>4.4444444444444446</v>
      </c>
      <c r="K14" s="604">
        <v>0.878</v>
      </c>
      <c r="L14" s="605"/>
      <c r="N14" s="421"/>
      <c r="O14" s="574"/>
      <c r="P14" s="574"/>
      <c r="Q14" s="370"/>
      <c r="R14" s="574"/>
      <c r="S14" s="574"/>
      <c r="T14" s="150"/>
      <c r="U14" s="506"/>
      <c r="V14" s="506"/>
      <c r="Z14" s="506"/>
      <c r="AA14" s="506"/>
      <c r="AB14" s="506"/>
      <c r="AC14" s="506"/>
      <c r="AD14" s="506"/>
    </row>
    <row r="15" spans="1:30" s="223" customFormat="1" ht="19.95" customHeight="1" thickBot="1" x14ac:dyDescent="0.45">
      <c r="A15" s="318"/>
      <c r="B15" s="516">
        <v>1.5</v>
      </c>
      <c r="C15" s="606">
        <v>0.86</v>
      </c>
      <c r="D15" s="607"/>
      <c r="F15" s="318"/>
      <c r="H15" s="422" t="s">
        <v>84</v>
      </c>
      <c r="I15" s="425">
        <v>7</v>
      </c>
      <c r="J15" s="504">
        <v>5.833333333333333</v>
      </c>
      <c r="K15" s="600">
        <v>0.91700000000000004</v>
      </c>
      <c r="L15" s="601"/>
      <c r="N15" s="111"/>
      <c r="O15" s="493"/>
      <c r="P15" s="493"/>
      <c r="Q15" s="494"/>
      <c r="R15" s="493"/>
      <c r="S15" s="493"/>
      <c r="T15" s="492"/>
      <c r="U15" s="506"/>
      <c r="V15" s="506"/>
      <c r="Z15" s="506"/>
      <c r="AA15" s="506"/>
      <c r="AB15" s="506"/>
      <c r="AC15" s="506"/>
      <c r="AD15" s="506"/>
    </row>
    <row r="16" spans="1:30" s="223" customFormat="1" ht="19.95" customHeight="1" thickBot="1" x14ac:dyDescent="0.45">
      <c r="A16" s="318"/>
      <c r="B16" s="516">
        <v>2</v>
      </c>
      <c r="C16" s="606">
        <v>0.88800000000000001</v>
      </c>
      <c r="D16" s="607"/>
      <c r="F16" s="318"/>
      <c r="H16" s="422" t="s">
        <v>85</v>
      </c>
      <c r="I16" s="425">
        <v>8</v>
      </c>
      <c r="J16" s="504">
        <v>6.8571428571428568</v>
      </c>
      <c r="K16" s="600">
        <v>0.94299999999999995</v>
      </c>
      <c r="L16" s="601"/>
      <c r="N16" s="111"/>
      <c r="O16" s="569" t="s">
        <v>18</v>
      </c>
      <c r="P16" s="570"/>
      <c r="Q16" s="570"/>
      <c r="R16" s="373" t="s">
        <v>80</v>
      </c>
      <c r="S16" s="368"/>
      <c r="T16" s="369"/>
      <c r="U16" s="506"/>
      <c r="V16" s="506"/>
      <c r="Z16" s="506"/>
      <c r="AA16" s="506"/>
      <c r="AB16" s="506"/>
      <c r="AC16" s="506"/>
      <c r="AD16" s="506"/>
    </row>
    <row r="17" spans="1:30" s="223" customFormat="1" ht="19.95" customHeight="1" x14ac:dyDescent="0.4">
      <c r="A17" s="318"/>
      <c r="B17" s="516">
        <v>3</v>
      </c>
      <c r="C17" s="606">
        <v>0.92900000000000005</v>
      </c>
      <c r="D17" s="607"/>
      <c r="F17" s="318"/>
      <c r="H17" s="422" t="s">
        <v>85</v>
      </c>
      <c r="I17" s="425">
        <v>10</v>
      </c>
      <c r="J17" s="504">
        <v>7.5</v>
      </c>
      <c r="K17" s="600">
        <v>0.95699999999999996</v>
      </c>
      <c r="L17" s="601"/>
      <c r="N17" s="111"/>
      <c r="O17" s="453"/>
      <c r="P17" s="454"/>
      <c r="Q17" s="454"/>
      <c r="R17" s="454"/>
      <c r="S17" s="454"/>
      <c r="T17" s="498"/>
      <c r="U17" s="506"/>
      <c r="V17" s="506"/>
      <c r="Z17" s="506"/>
      <c r="AA17" s="506"/>
      <c r="AB17" s="506"/>
      <c r="AC17" s="506"/>
      <c r="AD17" s="506"/>
    </row>
    <row r="18" spans="1:30" s="223" customFormat="1" ht="19.95" customHeight="1" thickBot="1" x14ac:dyDescent="0.45">
      <c r="A18" s="318"/>
      <c r="B18" s="516">
        <v>4</v>
      </c>
      <c r="C18" s="606">
        <v>0.96499999999999997</v>
      </c>
      <c r="D18" s="607"/>
      <c r="F18" s="318"/>
      <c r="H18" s="422" t="s">
        <v>85</v>
      </c>
      <c r="I18" s="425">
        <v>15</v>
      </c>
      <c r="J18" s="504">
        <v>8.5714285714285712</v>
      </c>
      <c r="K18" s="600">
        <v>0.97799999999999998</v>
      </c>
      <c r="L18" s="601"/>
      <c r="N18" s="111"/>
      <c r="O18" s="499"/>
      <c r="P18" s="584" t="s">
        <v>72</v>
      </c>
      <c r="Q18" s="584"/>
      <c r="R18" s="584"/>
      <c r="S18" s="226"/>
      <c r="T18" s="439"/>
      <c r="U18" s="506"/>
      <c r="V18" s="506"/>
      <c r="Z18" s="506"/>
      <c r="AA18" s="506"/>
      <c r="AB18" s="506"/>
      <c r="AC18" s="506"/>
      <c r="AD18" s="506"/>
    </row>
    <row r="19" spans="1:30" s="223" customFormat="1" ht="19.95" customHeight="1" thickBot="1" x14ac:dyDescent="0.45">
      <c r="A19" s="318"/>
      <c r="B19" s="517">
        <v>5</v>
      </c>
      <c r="C19" s="608">
        <v>1</v>
      </c>
      <c r="D19" s="609"/>
      <c r="F19" s="318"/>
      <c r="H19" s="422" t="s">
        <v>86</v>
      </c>
      <c r="I19" s="425">
        <v>10</v>
      </c>
      <c r="J19" s="504">
        <v>8.8888888888888893</v>
      </c>
      <c r="K19" s="600">
        <v>0.98499999999999999</v>
      </c>
      <c r="L19" s="601"/>
      <c r="N19" s="111"/>
      <c r="O19" s="437"/>
      <c r="P19" s="360" t="s">
        <v>78</v>
      </c>
      <c r="Q19" s="440" t="s">
        <v>1</v>
      </c>
      <c r="R19" s="360" t="s">
        <v>45</v>
      </c>
      <c r="S19" s="150"/>
      <c r="T19" s="445"/>
      <c r="U19" s="506"/>
      <c r="V19" s="506"/>
      <c r="Z19" s="506"/>
      <c r="AA19" s="506"/>
      <c r="AB19" s="506"/>
      <c r="AC19" s="506"/>
      <c r="AD19" s="506"/>
    </row>
    <row r="20" spans="1:30" s="223" customFormat="1" ht="19.95" customHeight="1" thickTop="1" thickBot="1" x14ac:dyDescent="0.45">
      <c r="A20" s="318"/>
      <c r="F20" s="318"/>
      <c r="H20" s="422" t="s">
        <v>86</v>
      </c>
      <c r="I20" s="425">
        <v>15</v>
      </c>
      <c r="J20" s="504">
        <v>10.434782608695652</v>
      </c>
      <c r="K20" s="600">
        <v>1.0049999999999999</v>
      </c>
      <c r="L20" s="601"/>
      <c r="N20" s="111"/>
      <c r="O20" s="499"/>
      <c r="P20" s="399">
        <v>3</v>
      </c>
      <c r="Q20" s="371">
        <f>Interpolate1DRowTable(P20,B26:L27)</f>
        <v>1.095</v>
      </c>
      <c r="R20" s="148">
        <f>Q20/J27</f>
        <v>0.88306451612903225</v>
      </c>
      <c r="S20" s="226"/>
      <c r="T20" s="446"/>
      <c r="U20" s="506"/>
      <c r="V20" s="506"/>
      <c r="Y20" s="506"/>
      <c r="Z20" s="506"/>
      <c r="AA20" s="506"/>
      <c r="AB20" s="506"/>
      <c r="AC20" s="506"/>
      <c r="AD20" s="506"/>
    </row>
    <row r="21" spans="1:30" s="223" customFormat="1" ht="19.95" customHeight="1" thickBot="1" x14ac:dyDescent="0.45">
      <c r="A21" s="318"/>
      <c r="B21" s="320"/>
      <c r="C21" s="320"/>
      <c r="D21" s="320"/>
      <c r="E21" s="318"/>
      <c r="F21" s="318"/>
      <c r="H21" s="422" t="s">
        <v>87</v>
      </c>
      <c r="I21" s="425">
        <v>10</v>
      </c>
      <c r="J21" s="504">
        <v>10</v>
      </c>
      <c r="K21" s="600">
        <v>1</v>
      </c>
      <c r="L21" s="601"/>
      <c r="N21" s="111"/>
      <c r="O21" s="499"/>
      <c r="P21" s="226"/>
      <c r="Q21" s="226"/>
      <c r="R21" s="226"/>
      <c r="S21" s="226"/>
      <c r="T21" s="438"/>
      <c r="U21" s="506"/>
      <c r="V21" s="506"/>
      <c r="Y21" s="506"/>
      <c r="Z21" s="506"/>
      <c r="AA21" s="506"/>
      <c r="AB21" s="506"/>
      <c r="AC21" s="506"/>
      <c r="AD21" s="506"/>
    </row>
    <row r="22" spans="1:30" s="223" customFormat="1" ht="19.95" customHeight="1" thickBot="1" x14ac:dyDescent="0.45">
      <c r="A22" s="318"/>
      <c r="C22" s="497" t="s">
        <v>102</v>
      </c>
      <c r="F22" s="318"/>
      <c r="H22" s="422" t="s">
        <v>87</v>
      </c>
      <c r="I22" s="425">
        <v>15</v>
      </c>
      <c r="J22" s="504">
        <v>12</v>
      </c>
      <c r="K22" s="600">
        <v>1.022</v>
      </c>
      <c r="L22" s="601"/>
      <c r="N22" s="111"/>
      <c r="O22" s="403"/>
      <c r="P22" s="360" t="s">
        <v>35</v>
      </c>
      <c r="Q22" s="441" t="s">
        <v>78</v>
      </c>
      <c r="R22" s="440" t="s">
        <v>1</v>
      </c>
      <c r="S22" s="360" t="s">
        <v>45</v>
      </c>
      <c r="T22" s="438"/>
      <c r="U22" s="506"/>
      <c r="V22" s="506"/>
      <c r="Y22" s="506"/>
      <c r="Z22" s="506"/>
      <c r="AA22" s="506"/>
      <c r="AB22" s="506"/>
      <c r="AC22" s="506"/>
      <c r="AD22" s="506"/>
    </row>
    <row r="23" spans="1:30" s="223" customFormat="1" ht="19.95" customHeight="1" thickBot="1" x14ac:dyDescent="0.45">
      <c r="A23" s="318"/>
      <c r="F23" s="318"/>
      <c r="H23" s="423" t="s">
        <v>88</v>
      </c>
      <c r="I23" s="426">
        <v>15</v>
      </c>
      <c r="J23" s="505">
        <v>15</v>
      </c>
      <c r="K23" s="602">
        <v>1.0640000000000001</v>
      </c>
      <c r="L23" s="603"/>
      <c r="N23" s="111"/>
      <c r="O23" s="403"/>
      <c r="P23" s="399">
        <v>3</v>
      </c>
      <c r="Q23" s="458">
        <f>P23*SQRTPI(1)</f>
        <v>5.3173615527165481</v>
      </c>
      <c r="R23" s="371">
        <f>Interpolate1DRowTable(Q23,B26:L27)</f>
        <v>1.149981954159764</v>
      </c>
      <c r="S23" s="148">
        <f>R23/J27</f>
        <v>0.92740480174174522</v>
      </c>
      <c r="T23" s="439"/>
      <c r="U23" s="506"/>
      <c r="V23" s="506"/>
      <c r="Y23" s="506"/>
      <c r="Z23" s="506"/>
      <c r="AA23" s="506"/>
      <c r="AB23" s="506"/>
      <c r="AC23" s="506"/>
      <c r="AD23" s="506"/>
    </row>
    <row r="24" spans="1:30" s="223" customFormat="1" ht="18" customHeight="1" thickTop="1" x14ac:dyDescent="0.4">
      <c r="A24" s="318"/>
      <c r="F24" s="318"/>
      <c r="M24" s="320"/>
      <c r="N24" s="111"/>
      <c r="O24" s="403"/>
      <c r="P24" s="372"/>
      <c r="Q24" s="372"/>
      <c r="R24" s="372"/>
      <c r="S24" s="358"/>
      <c r="T24" s="447"/>
      <c r="U24" s="506"/>
      <c r="V24" s="506"/>
      <c r="Y24" s="506"/>
      <c r="Z24" s="506"/>
      <c r="AA24" s="506"/>
      <c r="AB24" s="506"/>
      <c r="AC24" s="506"/>
      <c r="AD24" s="506"/>
    </row>
    <row r="25" spans="1:30" s="223" customFormat="1" ht="26.4" customHeight="1" thickBot="1" x14ac:dyDescent="0.45">
      <c r="A25" s="546" t="s">
        <v>72</v>
      </c>
      <c r="B25" s="546"/>
      <c r="C25" s="546"/>
      <c r="D25" s="546"/>
      <c r="E25" s="546"/>
      <c r="F25" s="546"/>
      <c r="G25" s="546"/>
      <c r="H25" s="546"/>
      <c r="I25" s="546"/>
      <c r="J25" s="546"/>
      <c r="K25" s="546"/>
      <c r="L25" s="546"/>
      <c r="M25" s="575"/>
      <c r="O25" s="403"/>
      <c r="P25" s="2"/>
      <c r="Q25" s="374" t="s">
        <v>24</v>
      </c>
      <c r="R25" s="2"/>
      <c r="S25" s="435"/>
      <c r="T25" s="448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</row>
    <row r="26" spans="1:30" s="223" customFormat="1" ht="19.95" customHeight="1" thickTop="1" thickBot="1" x14ac:dyDescent="0.45">
      <c r="A26" s="363" t="s">
        <v>36</v>
      </c>
      <c r="B26" s="362">
        <v>0</v>
      </c>
      <c r="C26" s="97">
        <v>2</v>
      </c>
      <c r="D26" s="97">
        <v>3</v>
      </c>
      <c r="E26" s="97">
        <v>4</v>
      </c>
      <c r="F26" s="97">
        <v>5</v>
      </c>
      <c r="G26" s="97">
        <v>6</v>
      </c>
      <c r="H26" s="97">
        <v>7</v>
      </c>
      <c r="I26" s="97">
        <v>8</v>
      </c>
      <c r="J26" s="97">
        <v>10</v>
      </c>
      <c r="K26" s="97">
        <v>12</v>
      </c>
      <c r="L26" s="98">
        <v>15</v>
      </c>
      <c r="M26" s="111"/>
      <c r="O26" s="437"/>
      <c r="P26" s="442" t="s">
        <v>2</v>
      </c>
      <c r="Q26" s="441" t="s">
        <v>78</v>
      </c>
      <c r="R26" s="443" t="s">
        <v>24</v>
      </c>
      <c r="S26" s="150"/>
      <c r="T26" s="438"/>
      <c r="U26" s="506"/>
      <c r="V26" s="506"/>
      <c r="W26" s="506"/>
      <c r="X26" s="506"/>
      <c r="Y26" s="506"/>
      <c r="Z26" s="506"/>
      <c r="AA26" s="506"/>
      <c r="AB26" s="506"/>
      <c r="AC26" s="506"/>
      <c r="AD26" s="506"/>
    </row>
    <row r="27" spans="1:30" s="223" customFormat="1" ht="19.95" customHeight="1" thickTop="1" thickBot="1" x14ac:dyDescent="0.45">
      <c r="A27" s="341" t="s">
        <v>1</v>
      </c>
      <c r="B27" s="338">
        <v>1</v>
      </c>
      <c r="C27" s="334">
        <v>1.0640000000000001</v>
      </c>
      <c r="D27" s="334">
        <v>1.095</v>
      </c>
      <c r="E27" s="334">
        <v>1.121</v>
      </c>
      <c r="F27" s="334">
        <v>1.143</v>
      </c>
      <c r="G27" s="334">
        <v>1.165</v>
      </c>
      <c r="H27" s="334">
        <v>1.1859999999999999</v>
      </c>
      <c r="I27" s="334">
        <v>1.206</v>
      </c>
      <c r="J27" s="334">
        <v>1.24</v>
      </c>
      <c r="K27" s="334">
        <v>1.2689999999999999</v>
      </c>
      <c r="L27" s="335">
        <v>1.302</v>
      </c>
      <c r="M27" s="44"/>
      <c r="O27" s="403"/>
      <c r="P27" s="400">
        <v>4</v>
      </c>
      <c r="Q27" s="395">
        <v>3</v>
      </c>
      <c r="R27" s="444" cm="1">
        <f t="array" ref="R27">Interpolate2DTable(P27,Q27,A32:L53)</f>
        <v>59.9</v>
      </c>
      <c r="S27" s="372"/>
      <c r="T27" s="404"/>
      <c r="U27" s="506"/>
      <c r="V27" s="506"/>
      <c r="W27" s="506"/>
      <c r="X27" s="506"/>
      <c r="Y27" s="506"/>
      <c r="Z27" s="506"/>
      <c r="AA27" s="506"/>
      <c r="AB27" s="506"/>
      <c r="AC27" s="506"/>
      <c r="AD27" s="506"/>
    </row>
    <row r="28" spans="1:30" s="223" customFormat="1" ht="19.95" customHeight="1" thickBot="1" x14ac:dyDescent="0.45">
      <c r="A28" s="359" t="s">
        <v>45</v>
      </c>
      <c r="B28" s="343">
        <v>0.80645161290322587</v>
      </c>
      <c r="C28" s="339">
        <v>0.85806451612903234</v>
      </c>
      <c r="D28" s="339">
        <v>0.88306451612903225</v>
      </c>
      <c r="E28" s="339">
        <v>0.90403225806451615</v>
      </c>
      <c r="F28" s="339">
        <v>0.92177419354838708</v>
      </c>
      <c r="G28" s="339">
        <v>0.93951612903225812</v>
      </c>
      <c r="H28" s="339">
        <v>0.95645161290322578</v>
      </c>
      <c r="I28" s="339">
        <v>0.97258064516129028</v>
      </c>
      <c r="J28" s="339">
        <v>1</v>
      </c>
      <c r="K28" s="339">
        <v>1.0233870967741934</v>
      </c>
      <c r="L28" s="364">
        <v>1.05</v>
      </c>
      <c r="M28" s="44"/>
      <c r="N28" s="220"/>
      <c r="O28" s="403"/>
      <c r="P28" s="372"/>
      <c r="Q28" s="372"/>
      <c r="R28" s="372"/>
      <c r="S28" s="372"/>
      <c r="T28" s="404"/>
      <c r="U28" s="506"/>
      <c r="V28" s="506"/>
      <c r="W28" s="506"/>
      <c r="X28" s="506"/>
      <c r="Y28" s="506"/>
      <c r="Z28" s="506"/>
      <c r="AA28" s="506"/>
      <c r="AB28" s="506"/>
      <c r="AC28" s="506"/>
      <c r="AD28" s="506"/>
    </row>
    <row r="29" spans="1:30" s="224" customFormat="1" ht="19.95" customHeight="1" thickTop="1" thickBot="1" x14ac:dyDescent="0.45">
      <c r="A29" s="365"/>
      <c r="B29" s="431"/>
      <c r="C29" s="431"/>
      <c r="D29" s="431"/>
      <c r="E29" s="431"/>
      <c r="F29" s="431"/>
      <c r="G29" s="431"/>
      <c r="H29" s="431"/>
      <c r="I29" s="431"/>
      <c r="J29" s="431"/>
      <c r="K29" s="431"/>
      <c r="L29" s="431"/>
      <c r="M29" s="44"/>
      <c r="N29" s="233"/>
      <c r="O29" s="499"/>
      <c r="P29" s="442" t="s">
        <v>2</v>
      </c>
      <c r="Q29" s="441" t="s">
        <v>35</v>
      </c>
      <c r="R29" s="441" t="s">
        <v>78</v>
      </c>
      <c r="S29" s="443" t="s">
        <v>24</v>
      </c>
      <c r="T29" s="449"/>
      <c r="U29" s="506"/>
      <c r="V29" s="506"/>
      <c r="W29" s="506"/>
      <c r="X29" s="506"/>
      <c r="Y29" s="506"/>
      <c r="Z29" s="506"/>
      <c r="AA29" s="506"/>
      <c r="AB29" s="506"/>
      <c r="AC29" s="506"/>
      <c r="AD29" s="506"/>
    </row>
    <row r="30" spans="1:30" s="37" customFormat="1" ht="19.95" customHeight="1" thickBot="1" x14ac:dyDescent="0.45">
      <c r="B30" s="546" t="s">
        <v>101</v>
      </c>
      <c r="C30" s="546"/>
      <c r="D30" s="546"/>
      <c r="E30" s="546"/>
      <c r="F30" s="546"/>
      <c r="G30" s="546"/>
      <c r="H30" s="546"/>
      <c r="I30" s="546"/>
      <c r="J30" s="546"/>
      <c r="K30" s="546"/>
      <c r="L30" s="546"/>
      <c r="M30" s="240"/>
      <c r="N30" s="241"/>
      <c r="O30" s="450"/>
      <c r="P30" s="400">
        <v>4</v>
      </c>
      <c r="Q30" s="395">
        <v>3</v>
      </c>
      <c r="R30" s="457">
        <f>Q30*SQRTPI(1)</f>
        <v>5.3173615527165481</v>
      </c>
      <c r="S30" s="444" cm="1">
        <f t="array" ref="S30">Interpolate2DTable(P30,R30,A32:L53)</f>
        <v>67.088612347606343</v>
      </c>
      <c r="T30" s="451"/>
      <c r="U30" s="506"/>
      <c r="V30" s="506"/>
      <c r="W30" s="506"/>
      <c r="X30" s="506"/>
      <c r="Y30" s="506"/>
      <c r="Z30" s="506"/>
      <c r="AA30" s="506"/>
      <c r="AB30" s="506"/>
      <c r="AC30" s="506"/>
      <c r="AD30" s="506"/>
    </row>
    <row r="31" spans="1:30" ht="19.95" customHeight="1" thickTop="1" thickBot="1" x14ac:dyDescent="0.45">
      <c r="A31" s="78" t="s">
        <v>36</v>
      </c>
      <c r="B31" s="96">
        <v>0</v>
      </c>
      <c r="C31" s="97">
        <v>2</v>
      </c>
      <c r="D31" s="97">
        <v>3</v>
      </c>
      <c r="E31" s="97">
        <v>4</v>
      </c>
      <c r="F31" s="97">
        <v>5</v>
      </c>
      <c r="G31" s="97">
        <v>6</v>
      </c>
      <c r="H31" s="97">
        <v>7</v>
      </c>
      <c r="I31" s="97">
        <v>8</v>
      </c>
      <c r="J31" s="97">
        <v>10</v>
      </c>
      <c r="K31" s="97">
        <v>12</v>
      </c>
      <c r="L31" s="98">
        <v>15</v>
      </c>
      <c r="M31" s="111"/>
      <c r="N31" s="8"/>
      <c r="O31" s="455"/>
      <c r="P31" s="456"/>
      <c r="Q31" s="456"/>
      <c r="R31" s="456"/>
      <c r="S31" s="456"/>
      <c r="T31" s="452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</row>
    <row r="32" spans="1:30" ht="19.95" customHeight="1" thickTop="1" x14ac:dyDescent="0.4">
      <c r="A32" s="427" t="s">
        <v>93</v>
      </c>
      <c r="B32" s="26">
        <v>0</v>
      </c>
      <c r="C32" s="27">
        <v>2</v>
      </c>
      <c r="D32" s="27">
        <v>3</v>
      </c>
      <c r="E32" s="27">
        <v>4</v>
      </c>
      <c r="F32" s="27">
        <v>5</v>
      </c>
      <c r="G32" s="27">
        <v>6</v>
      </c>
      <c r="H32" s="27">
        <v>7</v>
      </c>
      <c r="I32" s="27">
        <v>8</v>
      </c>
      <c r="J32" s="27">
        <v>10</v>
      </c>
      <c r="K32" s="27">
        <v>12</v>
      </c>
      <c r="L32" s="28">
        <v>15</v>
      </c>
      <c r="M32" s="111"/>
      <c r="N32" s="24"/>
      <c r="O32" s="2"/>
      <c r="P32" s="2"/>
      <c r="Q32" s="2"/>
      <c r="R32" s="2"/>
      <c r="S32" s="2"/>
      <c r="T32" s="2"/>
      <c r="U32" s="506"/>
      <c r="V32" s="506"/>
      <c r="W32" s="506"/>
      <c r="X32" s="506"/>
      <c r="Y32" s="506"/>
      <c r="Z32" s="506"/>
      <c r="AA32" s="506"/>
      <c r="AB32" s="506"/>
      <c r="AC32" s="506"/>
      <c r="AD32" s="506"/>
    </row>
    <row r="33" spans="1:30" ht="19.95" customHeight="1" x14ac:dyDescent="0.4">
      <c r="A33" s="428">
        <v>0</v>
      </c>
      <c r="B33" s="22">
        <v>100</v>
      </c>
      <c r="C33" s="23">
        <v>100</v>
      </c>
      <c r="D33" s="23">
        <v>100</v>
      </c>
      <c r="E33" s="23">
        <v>100</v>
      </c>
      <c r="F33" s="23">
        <v>100</v>
      </c>
      <c r="G33" s="23">
        <v>100</v>
      </c>
      <c r="H33" s="23">
        <v>100</v>
      </c>
      <c r="I33" s="23">
        <v>100</v>
      </c>
      <c r="J33" s="23">
        <v>100</v>
      </c>
      <c r="K33" s="23">
        <v>100</v>
      </c>
      <c r="L33" s="29">
        <v>100</v>
      </c>
      <c r="M33" s="34"/>
      <c r="N33" s="24"/>
      <c r="O33" s="2"/>
      <c r="P33" s="2"/>
      <c r="Q33" s="2"/>
      <c r="R33" s="2"/>
      <c r="S33" s="2"/>
      <c r="T33" s="2"/>
      <c r="U33" s="506"/>
      <c r="V33" s="506"/>
      <c r="W33" s="506"/>
      <c r="X33" s="506"/>
      <c r="Y33" s="506"/>
      <c r="Z33" s="506"/>
      <c r="AA33" s="506"/>
      <c r="AB33" s="506"/>
      <c r="AC33" s="506"/>
      <c r="AD33" s="506"/>
    </row>
    <row r="34" spans="1:30" ht="19.95" customHeight="1" x14ac:dyDescent="0.3">
      <c r="A34" s="428">
        <v>1</v>
      </c>
      <c r="B34" s="22">
        <v>82.3</v>
      </c>
      <c r="C34" s="23">
        <v>90.2</v>
      </c>
      <c r="D34" s="23">
        <v>92.6</v>
      </c>
      <c r="E34" s="23">
        <v>93.9</v>
      </c>
      <c r="F34" s="23">
        <v>95.4</v>
      </c>
      <c r="G34" s="23">
        <v>96.5</v>
      </c>
      <c r="H34" s="23">
        <v>97.3</v>
      </c>
      <c r="I34" s="23">
        <v>97.9</v>
      </c>
      <c r="J34" s="23">
        <v>98.9</v>
      </c>
      <c r="K34" s="23">
        <v>99.7</v>
      </c>
      <c r="L34" s="29">
        <v>100.6</v>
      </c>
      <c r="M34" s="34"/>
      <c r="O34" s="501"/>
      <c r="P34" s="501"/>
      <c r="Q34" s="501"/>
      <c r="R34" s="501"/>
      <c r="S34" s="501"/>
      <c r="T34" s="501"/>
      <c r="U34" s="501"/>
      <c r="V34" s="501"/>
      <c r="W34" s="501"/>
      <c r="X34" s="501"/>
      <c r="Y34" s="501"/>
      <c r="Z34" s="501"/>
    </row>
    <row r="35" spans="1:30" ht="19.95" customHeight="1" x14ac:dyDescent="0.3">
      <c r="A35" s="428">
        <v>2</v>
      </c>
      <c r="B35" s="22">
        <v>68</v>
      </c>
      <c r="C35" s="23">
        <v>78.099999999999994</v>
      </c>
      <c r="D35" s="23">
        <v>81.900000000000006</v>
      </c>
      <c r="E35" s="23">
        <v>84.6</v>
      </c>
      <c r="F35" s="23">
        <v>86.7</v>
      </c>
      <c r="G35" s="23">
        <v>88.3</v>
      </c>
      <c r="H35" s="23">
        <v>89.7</v>
      </c>
      <c r="I35" s="23">
        <v>90.7</v>
      </c>
      <c r="J35" s="23">
        <v>92.6</v>
      </c>
      <c r="K35" s="23">
        <v>94.1</v>
      </c>
      <c r="L35" s="29">
        <v>95.6</v>
      </c>
      <c r="M35" s="34"/>
      <c r="O35" s="501"/>
      <c r="P35" s="501"/>
      <c r="Q35" s="501"/>
      <c r="R35" s="501"/>
      <c r="S35" s="501"/>
      <c r="T35" s="501"/>
      <c r="U35" s="501"/>
      <c r="V35" s="501"/>
      <c r="W35" s="501"/>
      <c r="X35" s="501"/>
      <c r="Y35" s="501"/>
      <c r="Z35" s="501"/>
      <c r="AA35" s="502"/>
    </row>
    <row r="36" spans="1:30" ht="19.95" customHeight="1" x14ac:dyDescent="0.3">
      <c r="A36" s="428">
        <v>3</v>
      </c>
      <c r="B36" s="22">
        <v>56.2</v>
      </c>
      <c r="C36" s="23">
        <v>66.5</v>
      </c>
      <c r="D36" s="23">
        <v>70.5</v>
      </c>
      <c r="E36" s="23">
        <v>73.7</v>
      </c>
      <c r="F36" s="23">
        <v>76.400000000000006</v>
      </c>
      <c r="G36" s="23">
        <v>78.8</v>
      </c>
      <c r="H36" s="23">
        <v>80.8</v>
      </c>
      <c r="I36" s="23">
        <v>82.4</v>
      </c>
      <c r="J36" s="23">
        <v>85.1</v>
      </c>
      <c r="K36" s="23">
        <v>87.3</v>
      </c>
      <c r="L36" s="29">
        <v>89.5</v>
      </c>
      <c r="M36" s="34"/>
      <c r="O36" s="501"/>
      <c r="P36" s="501"/>
      <c r="Q36" s="501"/>
      <c r="R36" s="501"/>
      <c r="S36" s="501"/>
      <c r="T36" s="501"/>
      <c r="U36" s="501"/>
      <c r="V36" s="501"/>
      <c r="W36" s="501"/>
      <c r="X36" s="501"/>
      <c r="Y36" s="501"/>
      <c r="Z36" s="501"/>
      <c r="AA36" s="502"/>
    </row>
    <row r="37" spans="1:30" ht="19.95" customHeight="1" x14ac:dyDescent="0.3">
      <c r="A37" s="428">
        <v>4</v>
      </c>
      <c r="B37" s="22">
        <v>46.4</v>
      </c>
      <c r="C37" s="23">
        <v>56.1</v>
      </c>
      <c r="D37" s="23">
        <v>59.9</v>
      </c>
      <c r="E37" s="23">
        <v>63.1</v>
      </c>
      <c r="F37" s="23">
        <v>66.2</v>
      </c>
      <c r="G37" s="23">
        <v>69</v>
      </c>
      <c r="H37" s="23">
        <v>71.400000000000006</v>
      </c>
      <c r="I37" s="23">
        <v>73.400000000000006</v>
      </c>
      <c r="J37" s="23">
        <v>76.7</v>
      </c>
      <c r="K37" s="23">
        <v>79.400000000000006</v>
      </c>
      <c r="L37" s="29">
        <v>82.1</v>
      </c>
      <c r="M37" s="34"/>
      <c r="O37" s="501"/>
      <c r="P37" s="501"/>
      <c r="Q37" s="501"/>
      <c r="R37" s="501"/>
      <c r="S37" s="501"/>
      <c r="T37" s="501"/>
      <c r="U37" s="501"/>
      <c r="V37" s="501"/>
      <c r="W37" s="501"/>
      <c r="X37" s="501"/>
      <c r="Y37" s="501"/>
      <c r="Z37" s="501"/>
      <c r="AA37" s="502"/>
    </row>
    <row r="38" spans="1:30" ht="19.95" customHeight="1" x14ac:dyDescent="0.3">
      <c r="A38" s="428">
        <v>5</v>
      </c>
      <c r="B38" s="22">
        <v>38.6</v>
      </c>
      <c r="C38" s="23">
        <v>47.5</v>
      </c>
      <c r="D38" s="23">
        <v>51.2</v>
      </c>
      <c r="E38" s="23">
        <v>54.2</v>
      </c>
      <c r="F38" s="23">
        <v>57.3</v>
      </c>
      <c r="G38" s="23">
        <v>60.1</v>
      </c>
      <c r="H38" s="23">
        <v>62.6</v>
      </c>
      <c r="I38" s="23">
        <v>64.8</v>
      </c>
      <c r="J38" s="23">
        <v>68.400000000000006</v>
      </c>
      <c r="K38" s="23">
        <v>71.3</v>
      </c>
      <c r="L38" s="29">
        <v>74.5</v>
      </c>
      <c r="M38" s="34"/>
      <c r="O38" s="501"/>
      <c r="P38" s="501"/>
      <c r="Q38" s="501"/>
      <c r="R38" s="501"/>
      <c r="S38" s="501"/>
      <c r="T38" s="501"/>
      <c r="U38" s="501"/>
      <c r="V38" s="501"/>
      <c r="W38" s="501"/>
      <c r="X38" s="501"/>
      <c r="Y38" s="501"/>
      <c r="Z38" s="501"/>
      <c r="AA38" s="502"/>
    </row>
    <row r="39" spans="1:30" ht="19.95" customHeight="1" x14ac:dyDescent="0.3">
      <c r="A39" s="428">
        <v>6</v>
      </c>
      <c r="B39" s="22">
        <v>32</v>
      </c>
      <c r="C39" s="23">
        <v>40.1</v>
      </c>
      <c r="D39" s="23">
        <v>43.5</v>
      </c>
      <c r="E39" s="23">
        <v>46.3</v>
      </c>
      <c r="F39" s="23">
        <v>49.3</v>
      </c>
      <c r="G39" s="23">
        <v>52</v>
      </c>
      <c r="H39" s="23">
        <v>54.5</v>
      </c>
      <c r="I39" s="23">
        <v>56.8</v>
      </c>
      <c r="J39" s="23">
        <v>60.6</v>
      </c>
      <c r="K39" s="23">
        <v>63.6</v>
      </c>
      <c r="L39" s="29">
        <v>67</v>
      </c>
      <c r="M39" s="34"/>
      <c r="N39" s="10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2"/>
    </row>
    <row r="40" spans="1:30" ht="19.95" customHeight="1" x14ac:dyDescent="0.3">
      <c r="A40" s="428">
        <v>7</v>
      </c>
      <c r="B40" s="22">
        <v>26.5</v>
      </c>
      <c r="C40" s="23">
        <v>33.700000000000003</v>
      </c>
      <c r="D40" s="23">
        <v>36.700000000000003</v>
      </c>
      <c r="E40" s="23">
        <v>39.299999999999997</v>
      </c>
      <c r="F40" s="23">
        <v>42.2</v>
      </c>
      <c r="G40" s="23">
        <v>44.9</v>
      </c>
      <c r="H40" s="23">
        <v>47.4</v>
      </c>
      <c r="I40" s="23">
        <v>49.7</v>
      </c>
      <c r="J40" s="23">
        <v>53.6</v>
      </c>
      <c r="K40" s="23">
        <v>56.6</v>
      </c>
      <c r="L40" s="29">
        <v>60.1</v>
      </c>
      <c r="M40" s="34"/>
      <c r="N40" s="10"/>
      <c r="O40" s="501"/>
      <c r="P40" s="501"/>
      <c r="Q40" s="501"/>
      <c r="R40" s="501"/>
      <c r="S40" s="501"/>
      <c r="T40" s="501"/>
      <c r="U40" s="501"/>
      <c r="V40" s="501"/>
      <c r="W40" s="501"/>
      <c r="X40" s="501"/>
      <c r="Y40" s="501"/>
      <c r="Z40" s="501"/>
      <c r="AA40" s="502"/>
    </row>
    <row r="41" spans="1:30" ht="19.95" customHeight="1" x14ac:dyDescent="0.3">
      <c r="A41" s="428">
        <v>8</v>
      </c>
      <c r="B41" s="22">
        <v>22</v>
      </c>
      <c r="C41" s="23">
        <v>28.4</v>
      </c>
      <c r="D41" s="23">
        <v>31.1</v>
      </c>
      <c r="E41" s="23">
        <v>33.4</v>
      </c>
      <c r="F41" s="23">
        <v>36.200000000000003</v>
      </c>
      <c r="G41" s="23">
        <v>38.700000000000003</v>
      </c>
      <c r="H41" s="23">
        <v>41.1</v>
      </c>
      <c r="I41" s="23">
        <v>43.4</v>
      </c>
      <c r="J41" s="23">
        <v>47.2</v>
      </c>
      <c r="K41" s="23">
        <v>50.2</v>
      </c>
      <c r="L41" s="29">
        <v>53.7</v>
      </c>
      <c r="M41" s="34"/>
      <c r="N41" s="10"/>
      <c r="O41" s="501"/>
      <c r="P41" s="501"/>
      <c r="Q41" s="501"/>
      <c r="R41" s="501"/>
      <c r="S41" s="501"/>
      <c r="T41" s="501"/>
      <c r="U41" s="501"/>
      <c r="V41" s="501"/>
      <c r="W41" s="501"/>
      <c r="X41" s="501"/>
      <c r="Y41" s="501"/>
      <c r="Z41" s="501"/>
      <c r="AA41" s="502"/>
    </row>
    <row r="42" spans="1:30" ht="19.95" customHeight="1" x14ac:dyDescent="0.3">
      <c r="A42" s="428">
        <v>9</v>
      </c>
      <c r="B42" s="22">
        <v>18.399999999999999</v>
      </c>
      <c r="C42" s="23">
        <v>24</v>
      </c>
      <c r="D42" s="23">
        <v>26.4</v>
      </c>
      <c r="E42" s="23">
        <v>28.5</v>
      </c>
      <c r="F42" s="23">
        <v>31</v>
      </c>
      <c r="G42" s="23">
        <v>33.4</v>
      </c>
      <c r="H42" s="23">
        <v>35.700000000000003</v>
      </c>
      <c r="I42" s="23">
        <v>37.799999999999997</v>
      </c>
      <c r="J42" s="23">
        <v>41.5</v>
      </c>
      <c r="K42" s="23">
        <v>44.5</v>
      </c>
      <c r="L42" s="29">
        <v>47.9</v>
      </c>
      <c r="M42" s="34"/>
      <c r="N42" s="10"/>
      <c r="O42" s="501"/>
      <c r="P42" s="501"/>
      <c r="Q42" s="501"/>
      <c r="R42" s="501"/>
      <c r="S42" s="501"/>
      <c r="T42" s="501"/>
      <c r="U42" s="501"/>
      <c r="V42" s="501"/>
      <c r="W42" s="501"/>
      <c r="X42" s="501"/>
      <c r="Y42" s="501"/>
      <c r="Z42" s="501"/>
      <c r="AA42" s="502"/>
    </row>
    <row r="43" spans="1:30" ht="19.95" customHeight="1" x14ac:dyDescent="0.3">
      <c r="A43" s="428">
        <v>10</v>
      </c>
      <c r="B43" s="22">
        <v>15.4</v>
      </c>
      <c r="C43" s="23">
        <v>20.3</v>
      </c>
      <c r="D43" s="23">
        <v>22.4</v>
      </c>
      <c r="E43" s="23">
        <v>24.3</v>
      </c>
      <c r="F43" s="23">
        <v>26.7</v>
      </c>
      <c r="G43" s="23">
        <v>28.7</v>
      </c>
      <c r="H43" s="23">
        <v>30.8</v>
      </c>
      <c r="I43" s="23">
        <v>32.799999999999997</v>
      </c>
      <c r="J43" s="23">
        <v>36.299999999999997</v>
      </c>
      <c r="K43" s="23">
        <v>39.200000000000003</v>
      </c>
      <c r="L43" s="29">
        <v>42.6</v>
      </c>
      <c r="M43" s="34"/>
      <c r="N43" s="10"/>
      <c r="O43" s="501"/>
      <c r="P43" s="501"/>
      <c r="Q43" s="501"/>
      <c r="R43" s="501"/>
      <c r="S43" s="501"/>
      <c r="T43" s="501"/>
      <c r="U43" s="501"/>
      <c r="V43" s="501"/>
      <c r="W43" s="501"/>
      <c r="X43" s="501"/>
      <c r="Y43" s="501"/>
      <c r="Z43" s="501"/>
      <c r="AA43" s="502"/>
    </row>
    <row r="44" spans="1:30" ht="19.95" customHeight="1" x14ac:dyDescent="0.3">
      <c r="A44" s="428">
        <v>11</v>
      </c>
      <c r="B44" s="22">
        <v>12.8</v>
      </c>
      <c r="C44" s="23">
        <v>17.2</v>
      </c>
      <c r="D44" s="23">
        <v>19</v>
      </c>
      <c r="E44" s="23">
        <v>20.7</v>
      </c>
      <c r="F44" s="23">
        <v>22.7</v>
      </c>
      <c r="G44" s="23">
        <v>24.7</v>
      </c>
      <c r="H44" s="23">
        <v>26.6</v>
      </c>
      <c r="I44" s="23">
        <v>28.5</v>
      </c>
      <c r="J44" s="23">
        <v>31.7</v>
      </c>
      <c r="K44" s="23">
        <v>34.4</v>
      </c>
      <c r="L44" s="29">
        <v>37.700000000000003</v>
      </c>
      <c r="M44" s="34"/>
      <c r="N44" s="10"/>
      <c r="O44" s="501"/>
      <c r="P44" s="501"/>
      <c r="Q44" s="501"/>
      <c r="R44" s="501"/>
      <c r="S44" s="501"/>
      <c r="T44" s="501"/>
      <c r="U44" s="501"/>
      <c r="V44" s="501"/>
      <c r="W44" s="501"/>
      <c r="X44" s="501"/>
      <c r="Y44" s="501"/>
      <c r="Z44" s="501"/>
      <c r="AA44" s="502"/>
    </row>
    <row r="45" spans="1:30" ht="19.95" customHeight="1" x14ac:dyDescent="0.3">
      <c r="A45" s="428">
        <v>12</v>
      </c>
      <c r="B45" s="22">
        <v>10.7</v>
      </c>
      <c r="C45" s="23">
        <v>14.5</v>
      </c>
      <c r="D45" s="23">
        <v>16.100000000000001</v>
      </c>
      <c r="E45" s="23">
        <v>17.600000000000001</v>
      </c>
      <c r="F45" s="23">
        <v>19.399999999999999</v>
      </c>
      <c r="G45" s="23">
        <v>21.2</v>
      </c>
      <c r="H45" s="23">
        <v>23</v>
      </c>
      <c r="I45" s="23">
        <v>24.8</v>
      </c>
      <c r="J45" s="23">
        <v>27.7</v>
      </c>
      <c r="K45" s="23">
        <v>30.3</v>
      </c>
      <c r="L45" s="29">
        <v>33.299999999999997</v>
      </c>
      <c r="M45" s="34"/>
      <c r="N45" s="10"/>
      <c r="O45" s="501"/>
      <c r="P45" s="501"/>
      <c r="Q45" s="501"/>
      <c r="R45" s="501"/>
      <c r="S45" s="501"/>
      <c r="T45" s="501"/>
      <c r="U45" s="501"/>
      <c r="V45" s="501"/>
      <c r="W45" s="501"/>
      <c r="X45" s="501"/>
      <c r="Y45" s="501"/>
      <c r="Z45" s="501"/>
      <c r="AA45" s="502"/>
    </row>
    <row r="46" spans="1:30" ht="19.95" customHeight="1" x14ac:dyDescent="0.3">
      <c r="A46" s="428">
        <v>13</v>
      </c>
      <c r="B46" s="22">
        <v>9</v>
      </c>
      <c r="C46" s="23">
        <v>12.3</v>
      </c>
      <c r="D46" s="23">
        <v>13.8</v>
      </c>
      <c r="E46" s="23">
        <v>15.1</v>
      </c>
      <c r="F46" s="23">
        <v>16.7</v>
      </c>
      <c r="G46" s="23">
        <v>18.2</v>
      </c>
      <c r="H46" s="23">
        <v>19.899999999999999</v>
      </c>
      <c r="I46" s="23">
        <v>21.5</v>
      </c>
      <c r="J46" s="23">
        <v>24.2</v>
      </c>
      <c r="K46" s="23">
        <v>26.5</v>
      </c>
      <c r="L46" s="29">
        <v>29.4</v>
      </c>
      <c r="M46" s="34"/>
      <c r="N46" s="10"/>
      <c r="O46" s="501"/>
      <c r="P46" s="501"/>
      <c r="Q46" s="501"/>
      <c r="R46" s="501"/>
      <c r="S46" s="501"/>
      <c r="T46" s="501"/>
      <c r="U46" s="501"/>
      <c r="V46" s="501"/>
      <c r="W46" s="501"/>
      <c r="X46" s="501"/>
      <c r="Y46" s="501"/>
      <c r="Z46" s="501"/>
      <c r="AA46" s="502"/>
    </row>
    <row r="47" spans="1:30" ht="19.95" customHeight="1" x14ac:dyDescent="0.3">
      <c r="A47" s="428">
        <v>14</v>
      </c>
      <c r="B47" s="22">
        <v>7.5</v>
      </c>
      <c r="C47" s="23">
        <v>10.4</v>
      </c>
      <c r="D47" s="23">
        <v>11.7</v>
      </c>
      <c r="E47" s="23">
        <v>12.9</v>
      </c>
      <c r="F47" s="23">
        <v>14.3</v>
      </c>
      <c r="G47" s="23">
        <v>15.7</v>
      </c>
      <c r="H47" s="23">
        <v>17.2</v>
      </c>
      <c r="I47" s="23">
        <v>18.600000000000001</v>
      </c>
      <c r="J47" s="23">
        <v>21.1</v>
      </c>
      <c r="K47" s="23">
        <v>23.2</v>
      </c>
      <c r="L47" s="29">
        <v>25.9</v>
      </c>
      <c r="M47" s="34"/>
      <c r="N47" s="10"/>
      <c r="O47" s="501"/>
      <c r="P47" s="501"/>
      <c r="Q47" s="501"/>
      <c r="R47" s="501"/>
      <c r="S47" s="501"/>
      <c r="T47" s="501"/>
      <c r="U47" s="501"/>
      <c r="V47" s="501"/>
      <c r="W47" s="501"/>
      <c r="X47" s="501"/>
      <c r="Y47" s="501"/>
      <c r="Z47" s="501"/>
      <c r="AA47" s="502"/>
    </row>
    <row r="48" spans="1:30" ht="19.95" customHeight="1" x14ac:dyDescent="0.3">
      <c r="A48" s="428">
        <v>15</v>
      </c>
      <c r="B48" s="22">
        <v>6.3</v>
      </c>
      <c r="C48" s="23">
        <v>8.9</v>
      </c>
      <c r="D48" s="23">
        <v>10</v>
      </c>
      <c r="E48" s="23">
        <v>11</v>
      </c>
      <c r="F48" s="23">
        <v>12.2</v>
      </c>
      <c r="G48" s="23">
        <v>13.5</v>
      </c>
      <c r="H48" s="23">
        <v>14.8</v>
      </c>
      <c r="I48" s="23">
        <v>16.100000000000001</v>
      </c>
      <c r="J48" s="23">
        <v>18.399999999999999</v>
      </c>
      <c r="K48" s="23">
        <v>20.3</v>
      </c>
      <c r="L48" s="29">
        <v>22.9</v>
      </c>
      <c r="M48" s="34"/>
      <c r="N48" s="10"/>
      <c r="O48" s="501"/>
      <c r="P48" s="501"/>
      <c r="Q48" s="501"/>
      <c r="R48" s="501"/>
      <c r="S48" s="501"/>
      <c r="T48" s="501"/>
      <c r="U48" s="501"/>
      <c r="V48" s="501"/>
      <c r="W48" s="501"/>
      <c r="X48" s="501"/>
      <c r="Y48" s="501"/>
      <c r="Z48" s="501"/>
      <c r="AA48" s="502"/>
    </row>
    <row r="49" spans="1:27" ht="19.95" customHeight="1" x14ac:dyDescent="0.3">
      <c r="A49" s="428">
        <v>16</v>
      </c>
      <c r="B49" s="22">
        <v>5.3</v>
      </c>
      <c r="C49" s="23">
        <v>7.5</v>
      </c>
      <c r="D49" s="23">
        <v>8.5</v>
      </c>
      <c r="E49" s="23">
        <v>9.4</v>
      </c>
      <c r="F49" s="23">
        <v>10.5</v>
      </c>
      <c r="G49" s="23">
        <v>11.6</v>
      </c>
      <c r="H49" s="23">
        <v>12.8</v>
      </c>
      <c r="I49" s="23">
        <v>13.9</v>
      </c>
      <c r="J49" s="23">
        <v>16</v>
      </c>
      <c r="K49" s="23">
        <v>18</v>
      </c>
      <c r="L49" s="29">
        <v>20.2</v>
      </c>
      <c r="M49" s="34"/>
      <c r="N49" s="10"/>
      <c r="O49" s="501"/>
      <c r="P49" s="501"/>
      <c r="Q49" s="501"/>
      <c r="R49" s="501"/>
      <c r="S49" s="501"/>
      <c r="T49" s="501"/>
      <c r="U49" s="501"/>
      <c r="V49" s="501"/>
      <c r="W49" s="501"/>
      <c r="X49" s="501"/>
      <c r="Y49" s="501"/>
      <c r="Z49" s="501"/>
      <c r="AA49" s="502"/>
    </row>
    <row r="50" spans="1:27" ht="19.95" customHeight="1" x14ac:dyDescent="0.3">
      <c r="A50" s="428">
        <v>17</v>
      </c>
      <c r="B50" s="22">
        <v>4.5</v>
      </c>
      <c r="C50" s="23">
        <v>6.4</v>
      </c>
      <c r="D50" s="23">
        <v>7.2</v>
      </c>
      <c r="E50" s="23">
        <v>8</v>
      </c>
      <c r="F50" s="23">
        <v>9</v>
      </c>
      <c r="G50" s="23">
        <v>10</v>
      </c>
      <c r="H50" s="23">
        <v>11.1</v>
      </c>
      <c r="I50" s="23">
        <v>12</v>
      </c>
      <c r="J50" s="23">
        <v>13.9</v>
      </c>
      <c r="K50" s="23">
        <v>15.6</v>
      </c>
      <c r="L50" s="29">
        <v>17.8</v>
      </c>
      <c r="M50" s="34"/>
      <c r="N50" s="10"/>
      <c r="O50" s="501"/>
      <c r="P50" s="501"/>
      <c r="Q50" s="501"/>
      <c r="R50" s="501"/>
      <c r="S50" s="501"/>
      <c r="T50" s="501"/>
      <c r="U50" s="501"/>
      <c r="V50" s="501"/>
      <c r="W50" s="501"/>
      <c r="X50" s="501"/>
      <c r="Y50" s="501"/>
      <c r="Z50" s="501"/>
      <c r="AA50" s="502"/>
    </row>
    <row r="51" spans="1:27" ht="19.95" customHeight="1" x14ac:dyDescent="0.3">
      <c r="A51" s="428">
        <v>18</v>
      </c>
      <c r="B51" s="22">
        <v>3.7</v>
      </c>
      <c r="C51" s="23">
        <v>5.4</v>
      </c>
      <c r="D51" s="23">
        <v>6.1</v>
      </c>
      <c r="E51" s="23">
        <v>6.8</v>
      </c>
      <c r="F51" s="23">
        <v>7.7</v>
      </c>
      <c r="G51" s="23">
        <v>8.6</v>
      </c>
      <c r="H51" s="23">
        <v>9.6</v>
      </c>
      <c r="I51" s="23">
        <v>10.4</v>
      </c>
      <c r="J51" s="23">
        <v>12.2</v>
      </c>
      <c r="K51" s="23">
        <v>13.7</v>
      </c>
      <c r="L51" s="29">
        <v>15.7</v>
      </c>
      <c r="M51" s="34"/>
      <c r="N51" s="10"/>
      <c r="O51" s="501"/>
      <c r="P51" s="501"/>
      <c r="Q51" s="501"/>
      <c r="R51" s="501"/>
      <c r="S51" s="501"/>
      <c r="T51" s="501"/>
      <c r="U51" s="501"/>
      <c r="V51" s="501"/>
      <c r="W51" s="501"/>
      <c r="X51" s="501"/>
      <c r="Y51" s="501"/>
      <c r="Z51" s="501"/>
      <c r="AA51" s="502"/>
    </row>
    <row r="52" spans="1:27" ht="19.95" customHeight="1" x14ac:dyDescent="0.3">
      <c r="A52" s="428">
        <v>19</v>
      </c>
      <c r="B52" s="22">
        <v>3.1</v>
      </c>
      <c r="C52" s="23">
        <v>4.5999999999999996</v>
      </c>
      <c r="D52" s="23">
        <v>5.2</v>
      </c>
      <c r="E52" s="23">
        <v>5.8</v>
      </c>
      <c r="F52" s="23">
        <v>6.6</v>
      </c>
      <c r="G52" s="23">
        <v>7.4</v>
      </c>
      <c r="H52" s="23">
        <v>8.3000000000000007</v>
      </c>
      <c r="I52" s="23">
        <v>9</v>
      </c>
      <c r="J52" s="23">
        <v>10.7</v>
      </c>
      <c r="K52" s="23">
        <v>12.2</v>
      </c>
      <c r="L52" s="29">
        <v>13.9</v>
      </c>
      <c r="M52" s="34"/>
      <c r="N52" s="10"/>
      <c r="O52" s="501"/>
      <c r="P52" s="501"/>
      <c r="Q52" s="501"/>
      <c r="R52" s="501"/>
      <c r="S52" s="501"/>
      <c r="T52" s="501"/>
      <c r="U52" s="501"/>
      <c r="V52" s="501"/>
      <c r="W52" s="501"/>
      <c r="X52" s="501"/>
      <c r="Y52" s="501"/>
      <c r="Z52" s="501"/>
      <c r="AA52" s="502"/>
    </row>
    <row r="53" spans="1:27" ht="19.95" customHeight="1" thickBot="1" x14ac:dyDescent="0.35">
      <c r="A53" s="429">
        <v>20</v>
      </c>
      <c r="B53" s="30">
        <v>2.6</v>
      </c>
      <c r="C53" s="31">
        <v>3.8</v>
      </c>
      <c r="D53" s="31">
        <v>4.4000000000000004</v>
      </c>
      <c r="E53" s="31">
        <v>4.9000000000000004</v>
      </c>
      <c r="F53" s="31">
        <v>5.6</v>
      </c>
      <c r="G53" s="31">
        <v>6.3</v>
      </c>
      <c r="H53" s="31">
        <v>7</v>
      </c>
      <c r="I53" s="31">
        <v>7.8</v>
      </c>
      <c r="J53" s="31">
        <v>9.4</v>
      </c>
      <c r="K53" s="31">
        <v>10.7</v>
      </c>
      <c r="L53" s="32">
        <v>12.3</v>
      </c>
      <c r="M53" s="34"/>
      <c r="N53" s="10"/>
      <c r="O53" s="501"/>
      <c r="P53" s="501"/>
      <c r="Q53" s="501"/>
      <c r="R53" s="501"/>
      <c r="S53" s="501"/>
      <c r="T53" s="501"/>
      <c r="U53" s="501"/>
      <c r="V53" s="501"/>
      <c r="W53" s="501"/>
      <c r="X53" s="501"/>
      <c r="Y53" s="501"/>
      <c r="Z53" s="501"/>
      <c r="AA53" s="502"/>
    </row>
    <row r="54" spans="1:27" ht="15" customHeight="1" thickTop="1" x14ac:dyDescent="0.35">
      <c r="A54" s="3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10"/>
      <c r="N54" s="10"/>
    </row>
    <row r="55" spans="1:27" ht="21" customHeight="1" x14ac:dyDescent="0.3">
      <c r="N55" s="10"/>
      <c r="O55" s="13"/>
      <c r="P55" s="585"/>
      <c r="Q55" s="585"/>
      <c r="R55" s="585"/>
      <c r="S55" s="585"/>
    </row>
    <row r="56" spans="1:27" ht="18" customHeight="1" x14ac:dyDescent="0.3">
      <c r="N56" s="10"/>
      <c r="O56" s="13"/>
      <c r="T56" s="34"/>
    </row>
    <row r="57" spans="1:27" ht="18" customHeight="1" x14ac:dyDescent="0.3">
      <c r="N57" s="10"/>
      <c r="O57" s="13"/>
      <c r="T57" s="34"/>
    </row>
    <row r="58" spans="1:27" ht="18" customHeight="1" x14ac:dyDescent="0.3">
      <c r="N58" s="157"/>
      <c r="O58" s="13"/>
      <c r="T58" s="34"/>
    </row>
    <row r="59" spans="1:27" ht="18" customHeight="1" x14ac:dyDescent="0.3">
      <c r="A59" s="33"/>
      <c r="B59" s="304"/>
      <c r="C59" s="301"/>
      <c r="D59" s="303"/>
      <c r="E59" s="301"/>
      <c r="F59" s="301"/>
      <c r="L59" s="158"/>
      <c r="M59" s="156"/>
      <c r="N59" s="157"/>
      <c r="O59" s="6"/>
      <c r="T59" s="35"/>
    </row>
    <row r="60" spans="1:27" ht="18" customHeight="1" x14ac:dyDescent="0.3">
      <c r="L60" s="158"/>
      <c r="M60" s="156"/>
      <c r="N60" s="157"/>
      <c r="O60" s="6"/>
      <c r="T60" s="35"/>
    </row>
    <row r="61" spans="1:27" ht="18" customHeight="1" x14ac:dyDescent="0.3">
      <c r="A61" s="366"/>
      <c r="B61" s="366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157"/>
      <c r="O61" s="6"/>
      <c r="T61" s="10"/>
    </row>
    <row r="62" spans="1:27" ht="18" customHeight="1" x14ac:dyDescent="0.3">
      <c r="A62" s="366"/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157"/>
      <c r="O62" s="6"/>
      <c r="T62" s="10"/>
    </row>
    <row r="63" spans="1:27" ht="18" customHeight="1" x14ac:dyDescent="0.3">
      <c r="A63" s="366"/>
      <c r="B63" s="366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157"/>
      <c r="O63" s="6"/>
      <c r="P63" s="10"/>
      <c r="Q63" s="10"/>
      <c r="R63" s="10"/>
      <c r="S63" s="10"/>
      <c r="T63" s="10"/>
    </row>
    <row r="64" spans="1:27" ht="18" customHeight="1" x14ac:dyDescent="0.3">
      <c r="A64" s="366"/>
      <c r="B64" s="366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157"/>
      <c r="O64" s="6"/>
      <c r="P64" s="153"/>
      <c r="Q64" s="583"/>
      <c r="R64" s="583"/>
      <c r="S64" s="583"/>
      <c r="T64" s="10"/>
    </row>
    <row r="65" spans="1:20" ht="18" customHeight="1" x14ac:dyDescent="0.3">
      <c r="A65" s="366"/>
      <c r="B65" s="366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157"/>
      <c r="O65" s="6"/>
      <c r="P65" s="154"/>
      <c r="Q65" s="583"/>
      <c r="R65" s="583"/>
      <c r="S65" s="583"/>
      <c r="T65" s="10"/>
    </row>
    <row r="66" spans="1:20" ht="18" customHeight="1" x14ac:dyDescent="0.3">
      <c r="A66" s="366"/>
      <c r="B66" s="366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157"/>
      <c r="O66" s="6"/>
      <c r="P66" s="568"/>
      <c r="Q66" s="581"/>
      <c r="R66" s="581"/>
      <c r="S66" s="581"/>
      <c r="T66" s="10"/>
    </row>
    <row r="67" spans="1:20" ht="18" customHeight="1" x14ac:dyDescent="0.3">
      <c r="A67" s="366"/>
      <c r="B67" s="366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157"/>
      <c r="O67" s="6"/>
      <c r="P67" s="568"/>
      <c r="Q67" s="581"/>
      <c r="R67" s="582"/>
      <c r="S67" s="581"/>
      <c r="T67" s="10"/>
    </row>
    <row r="68" spans="1:20" ht="18" customHeight="1" x14ac:dyDescent="0.3">
      <c r="A68" s="366"/>
      <c r="B68" s="366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10"/>
    </row>
    <row r="69" spans="1:20" ht="18" customHeight="1" x14ac:dyDescent="0.3">
      <c r="A69" s="366"/>
      <c r="B69" s="366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10"/>
    </row>
    <row r="70" spans="1:20" ht="18" customHeight="1" x14ac:dyDescent="0.3">
      <c r="A70" s="366"/>
      <c r="B70" s="366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10"/>
    </row>
    <row r="71" spans="1:20" ht="18" customHeight="1" x14ac:dyDescent="0.3">
      <c r="A71" s="366"/>
      <c r="B71" s="366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6"/>
    </row>
    <row r="72" spans="1:20" ht="13.2" customHeight="1" x14ac:dyDescent="0.3">
      <c r="A72" s="366"/>
      <c r="B72" s="366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6"/>
    </row>
    <row r="73" spans="1:20" ht="13.2" customHeight="1" x14ac:dyDescent="0.3">
      <c r="A73" s="366"/>
      <c r="B73" s="366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6"/>
    </row>
    <row r="74" spans="1:20" ht="13.2" customHeight="1" x14ac:dyDescent="0.3">
      <c r="A74" s="366"/>
      <c r="B74" s="366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6"/>
    </row>
    <row r="75" spans="1:20" ht="13.2" customHeight="1" x14ac:dyDescent="0.3">
      <c r="A75" s="366"/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6"/>
    </row>
    <row r="76" spans="1:20" ht="13.2" customHeight="1" x14ac:dyDescent="0.3">
      <c r="A76" s="366"/>
      <c r="B76" s="366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6"/>
    </row>
    <row r="77" spans="1:20" ht="13.2" customHeight="1" x14ac:dyDescent="0.3">
      <c r="A77" s="366"/>
      <c r="B77" s="366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</row>
    <row r="78" spans="1:20" x14ac:dyDescent="0.3">
      <c r="I78" s="10"/>
      <c r="J78" s="10"/>
      <c r="K78" s="10"/>
      <c r="L78" s="10"/>
    </row>
    <row r="79" spans="1:20" x14ac:dyDescent="0.3">
      <c r="I79" s="10"/>
      <c r="J79" s="10"/>
      <c r="K79" s="10"/>
      <c r="L79" s="10"/>
    </row>
    <row r="80" spans="1:20" x14ac:dyDescent="0.3">
      <c r="I80" s="10"/>
      <c r="J80" s="10"/>
      <c r="K80" s="10"/>
      <c r="L80" s="10"/>
    </row>
    <row r="81" spans="9:12" x14ac:dyDescent="0.3">
      <c r="I81" s="10"/>
      <c r="J81" s="10"/>
      <c r="K81" s="10"/>
      <c r="L81" s="10"/>
    </row>
    <row r="82" spans="9:12" x14ac:dyDescent="0.3">
      <c r="I82" s="10"/>
      <c r="J82" s="10"/>
      <c r="K82" s="10"/>
      <c r="L82" s="10"/>
    </row>
    <row r="83" spans="9:12" x14ac:dyDescent="0.3">
      <c r="I83" s="10"/>
      <c r="J83" s="10"/>
      <c r="K83" s="10"/>
      <c r="L83" s="10"/>
    </row>
    <row r="84" spans="9:12" x14ac:dyDescent="0.3">
      <c r="I84" s="10"/>
    </row>
    <row r="85" spans="9:12" x14ac:dyDescent="0.3">
      <c r="I85" s="10"/>
    </row>
    <row r="86" spans="9:12" x14ac:dyDescent="0.3">
      <c r="I86" s="10"/>
    </row>
    <row r="87" spans="9:12" x14ac:dyDescent="0.3">
      <c r="I87" s="10"/>
    </row>
    <row r="88" spans="9:12" x14ac:dyDescent="0.3">
      <c r="I88" s="10"/>
    </row>
  </sheetData>
  <mergeCells count="47">
    <mergeCell ref="C14:D14"/>
    <mergeCell ref="C15:D15"/>
    <mergeCell ref="C16:D16"/>
    <mergeCell ref="C17:D17"/>
    <mergeCell ref="C19:D19"/>
    <mergeCell ref="K19:L19"/>
    <mergeCell ref="K20:L20"/>
    <mergeCell ref="K21:L21"/>
    <mergeCell ref="O16:Q16"/>
    <mergeCell ref="P66:S66"/>
    <mergeCell ref="P67:Q67"/>
    <mergeCell ref="R67:S67"/>
    <mergeCell ref="Q64:S65"/>
    <mergeCell ref="P18:R18"/>
    <mergeCell ref="P55:S55"/>
    <mergeCell ref="A1:M1"/>
    <mergeCell ref="A12:F12"/>
    <mergeCell ref="A25:M25"/>
    <mergeCell ref="H12:M12"/>
    <mergeCell ref="H13:I13"/>
    <mergeCell ref="C13:D13"/>
    <mergeCell ref="K13:L13"/>
    <mergeCell ref="A2:M2"/>
    <mergeCell ref="A4:E4"/>
    <mergeCell ref="A3:E3"/>
    <mergeCell ref="H3:L3"/>
    <mergeCell ref="H4:L4"/>
    <mergeCell ref="H5:L5"/>
    <mergeCell ref="A5:E5"/>
    <mergeCell ref="B10:D10"/>
    <mergeCell ref="H8:L8"/>
    <mergeCell ref="O3:T3"/>
    <mergeCell ref="O13:P14"/>
    <mergeCell ref="R13:S14"/>
    <mergeCell ref="O12:T12"/>
    <mergeCell ref="B30:L30"/>
    <mergeCell ref="H10:L10"/>
    <mergeCell ref="A7:E7"/>
    <mergeCell ref="H7:L7"/>
    <mergeCell ref="K22:L22"/>
    <mergeCell ref="K23:L23"/>
    <mergeCell ref="K14:L14"/>
    <mergeCell ref="K15:L15"/>
    <mergeCell ref="K16:L16"/>
    <mergeCell ref="K17:L17"/>
    <mergeCell ref="K18:L18"/>
    <mergeCell ref="C18:D18"/>
  </mergeCells>
  <phoneticPr fontId="0" type="noConversion"/>
  <printOptions horizontalCentered="1"/>
  <pageMargins left="0.74803149606299213" right="0.74803149606299213" top="1.0629921259842521" bottom="0.59055118110236227" header="0.47244094488188981" footer="0.39370078740157483"/>
  <pageSetup scale="96" orientation="portrait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Y34"/>
  <sheetViews>
    <sheetView showGridLines="0" workbookViewId="0">
      <selection activeCell="A3" sqref="A3"/>
    </sheetView>
  </sheetViews>
  <sheetFormatPr defaultRowHeight="12.45" x14ac:dyDescent="0.3"/>
  <cols>
    <col min="1" max="1" width="9.3046875" customWidth="1"/>
    <col min="2" max="12" width="7.69140625" customWidth="1"/>
  </cols>
  <sheetData>
    <row r="1" spans="1:25" s="223" customFormat="1" ht="30" customHeight="1" x14ac:dyDescent="0.4">
      <c r="A1" s="523" t="s">
        <v>5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220"/>
      <c r="M1" s="221"/>
      <c r="N1" s="222"/>
      <c r="O1" s="222"/>
      <c r="P1" s="220"/>
    </row>
    <row r="2" spans="1:25" ht="24" customHeight="1" thickBot="1" x14ac:dyDescent="0.35">
      <c r="A2" s="612" t="s">
        <v>129</v>
      </c>
      <c r="B2" s="613"/>
      <c r="C2" s="613"/>
      <c r="D2" s="613"/>
      <c r="E2" s="613"/>
      <c r="F2" s="613"/>
      <c r="G2" s="613"/>
      <c r="H2" s="613"/>
      <c r="I2" s="613"/>
      <c r="J2" s="613"/>
      <c r="K2" s="613"/>
      <c r="L2" s="210"/>
      <c r="M2" s="211"/>
      <c r="N2" s="212"/>
      <c r="O2" s="212"/>
      <c r="P2" s="6"/>
    </row>
    <row r="3" spans="1:25" ht="21.9" customHeight="1" thickTop="1" thickBot="1" x14ac:dyDescent="0.35">
      <c r="A3" s="58" t="s">
        <v>36</v>
      </c>
      <c r="B3" s="96">
        <v>0</v>
      </c>
      <c r="C3" s="97">
        <v>4</v>
      </c>
      <c r="D3" s="97">
        <v>6</v>
      </c>
      <c r="E3" s="97">
        <v>8</v>
      </c>
      <c r="F3" s="97">
        <v>10</v>
      </c>
      <c r="G3" s="97">
        <v>15</v>
      </c>
      <c r="H3" s="97">
        <v>20</v>
      </c>
      <c r="I3" s="97">
        <v>25</v>
      </c>
      <c r="J3" s="97">
        <v>30</v>
      </c>
      <c r="K3" s="98">
        <v>35</v>
      </c>
      <c r="L3" s="111"/>
      <c r="M3" s="8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11"/>
    </row>
    <row r="4" spans="1:25" ht="17.25" customHeight="1" thickTop="1" x14ac:dyDescent="0.3">
      <c r="A4" s="9" t="s">
        <v>3</v>
      </c>
      <c r="B4" s="26">
        <v>0</v>
      </c>
      <c r="C4" s="27">
        <v>4</v>
      </c>
      <c r="D4" s="27">
        <v>6</v>
      </c>
      <c r="E4" s="27">
        <v>8</v>
      </c>
      <c r="F4" s="27">
        <v>10</v>
      </c>
      <c r="G4" s="27">
        <v>15</v>
      </c>
      <c r="H4" s="27">
        <v>20</v>
      </c>
      <c r="I4" s="27">
        <v>25</v>
      </c>
      <c r="J4" s="27">
        <v>30</v>
      </c>
      <c r="K4" s="28">
        <v>35</v>
      </c>
      <c r="L4" s="111"/>
      <c r="M4" s="24"/>
      <c r="N4" s="65"/>
      <c r="O4" s="35"/>
      <c r="P4" s="35"/>
      <c r="Q4" s="66"/>
      <c r="R4" s="66"/>
      <c r="S4" s="66"/>
      <c r="T4" s="66"/>
      <c r="U4" s="66"/>
      <c r="V4" s="66"/>
      <c r="W4" s="66"/>
      <c r="X4" s="66"/>
      <c r="Y4" s="11"/>
    </row>
    <row r="5" spans="1:25" ht="17.25" customHeight="1" x14ac:dyDescent="0.3">
      <c r="A5" s="14">
        <v>0.5</v>
      </c>
      <c r="B5" s="22">
        <v>100</v>
      </c>
      <c r="C5" s="23">
        <v>100</v>
      </c>
      <c r="D5" s="23">
        <v>100</v>
      </c>
      <c r="E5" s="23">
        <v>100</v>
      </c>
      <c r="F5" s="23">
        <v>100</v>
      </c>
      <c r="G5" s="23">
        <v>100</v>
      </c>
      <c r="H5" s="23">
        <v>100</v>
      </c>
      <c r="I5" s="23">
        <v>100</v>
      </c>
      <c r="J5" s="23">
        <v>100</v>
      </c>
      <c r="K5" s="29">
        <v>100</v>
      </c>
      <c r="L5" s="113"/>
      <c r="M5" s="10"/>
      <c r="N5" s="12"/>
      <c r="O5" s="13"/>
      <c r="P5" s="13"/>
      <c r="Q5" s="13"/>
      <c r="R5" s="13"/>
      <c r="S5" s="13"/>
      <c r="T5" s="13"/>
      <c r="U5" s="13"/>
      <c r="V5" s="13"/>
      <c r="W5" s="13"/>
      <c r="X5" s="13"/>
      <c r="Y5" s="11"/>
    </row>
    <row r="6" spans="1:25" ht="17.25" customHeight="1" x14ac:dyDescent="0.3">
      <c r="A6" s="14">
        <v>1</v>
      </c>
      <c r="B6" s="22">
        <v>95.6</v>
      </c>
      <c r="C6" s="23">
        <v>97.2</v>
      </c>
      <c r="D6" s="23">
        <v>97.7</v>
      </c>
      <c r="E6" s="23">
        <v>97.9</v>
      </c>
      <c r="F6" s="23">
        <v>98.1</v>
      </c>
      <c r="G6" s="23">
        <v>98.3</v>
      </c>
      <c r="H6" s="23">
        <v>98.3</v>
      </c>
      <c r="I6" s="23">
        <v>98.4</v>
      </c>
      <c r="J6" s="23">
        <v>98.5</v>
      </c>
      <c r="K6" s="29">
        <v>98.5</v>
      </c>
      <c r="L6" s="113"/>
      <c r="M6" s="10"/>
      <c r="N6" s="10"/>
      <c r="O6" s="13"/>
      <c r="P6" s="13"/>
      <c r="Q6" s="13"/>
      <c r="R6" s="13"/>
      <c r="S6" s="13"/>
      <c r="T6" s="13"/>
      <c r="U6" s="13"/>
      <c r="V6" s="13"/>
      <c r="W6" s="13"/>
      <c r="X6" s="13"/>
    </row>
    <row r="7" spans="1:25" ht="17.25" customHeight="1" x14ac:dyDescent="0.3">
      <c r="A7" s="14">
        <v>2</v>
      </c>
      <c r="B7" s="22">
        <v>87.3</v>
      </c>
      <c r="C7" s="23">
        <v>91.4</v>
      </c>
      <c r="D7" s="23">
        <v>92.6</v>
      </c>
      <c r="E7" s="23">
        <v>93.2</v>
      </c>
      <c r="F7" s="23">
        <v>93.7</v>
      </c>
      <c r="G7" s="23">
        <v>94.1</v>
      </c>
      <c r="H7" s="23">
        <v>94.3</v>
      </c>
      <c r="I7" s="23">
        <v>94.5</v>
      </c>
      <c r="J7" s="23">
        <v>94.7</v>
      </c>
      <c r="K7" s="29">
        <v>94.8</v>
      </c>
      <c r="L7" s="113"/>
      <c r="M7" s="10"/>
      <c r="N7" s="10"/>
      <c r="O7" s="13"/>
      <c r="P7" s="13"/>
      <c r="Q7" s="13"/>
      <c r="R7" s="13"/>
      <c r="S7" s="13"/>
      <c r="T7" s="13"/>
      <c r="U7" s="13"/>
      <c r="V7" s="13"/>
      <c r="W7" s="13"/>
      <c r="X7" s="13"/>
    </row>
    <row r="8" spans="1:25" ht="17.25" customHeight="1" x14ac:dyDescent="0.3">
      <c r="A8" s="14">
        <v>3</v>
      </c>
      <c r="B8" s="22">
        <v>79.900000000000006</v>
      </c>
      <c r="C8" s="23">
        <v>85.4</v>
      </c>
      <c r="D8" s="23">
        <v>87</v>
      </c>
      <c r="E8" s="23">
        <v>88</v>
      </c>
      <c r="F8" s="23">
        <v>88.7</v>
      </c>
      <c r="G8" s="23">
        <v>89.5</v>
      </c>
      <c r="H8" s="23">
        <v>90.1</v>
      </c>
      <c r="I8" s="23">
        <v>90.3</v>
      </c>
      <c r="J8" s="23">
        <v>90.5</v>
      </c>
      <c r="K8" s="29">
        <v>90.6</v>
      </c>
      <c r="L8" s="113"/>
      <c r="M8" s="10"/>
      <c r="N8" s="10"/>
      <c r="O8" s="13"/>
      <c r="P8" s="13"/>
      <c r="Q8" s="13"/>
      <c r="R8" s="13"/>
      <c r="S8" s="13"/>
      <c r="T8" s="13"/>
      <c r="U8" s="13"/>
      <c r="V8" s="13"/>
      <c r="W8" s="13"/>
      <c r="X8" s="13"/>
    </row>
    <row r="9" spans="1:25" ht="17.25" customHeight="1" x14ac:dyDescent="0.3">
      <c r="A9" s="14">
        <v>4</v>
      </c>
      <c r="B9" s="22">
        <v>73</v>
      </c>
      <c r="C9" s="23">
        <v>79.7</v>
      </c>
      <c r="D9" s="23">
        <v>81.599999999999994</v>
      </c>
      <c r="E9" s="23">
        <v>82.8</v>
      </c>
      <c r="F9" s="23">
        <v>83.7</v>
      </c>
      <c r="G9" s="23">
        <v>84.9</v>
      </c>
      <c r="H9" s="23">
        <v>85.6</v>
      </c>
      <c r="I9" s="23">
        <v>86</v>
      </c>
      <c r="J9" s="23">
        <v>86.3</v>
      </c>
      <c r="K9" s="29">
        <v>86.5</v>
      </c>
      <c r="L9" s="113"/>
      <c r="M9" s="10"/>
      <c r="N9" s="10"/>
      <c r="O9" s="13"/>
      <c r="P9" s="13"/>
      <c r="Q9" s="13"/>
      <c r="R9" s="13"/>
      <c r="S9" s="13"/>
      <c r="T9" s="13"/>
      <c r="U9" s="13"/>
      <c r="V9" s="13"/>
      <c r="W9" s="13"/>
      <c r="X9" s="13"/>
    </row>
    <row r="10" spans="1:25" ht="17.25" customHeight="1" x14ac:dyDescent="0.3">
      <c r="A10" s="14">
        <v>5</v>
      </c>
      <c r="B10" s="22">
        <v>66.7</v>
      </c>
      <c r="C10" s="23">
        <v>73.900000000000006</v>
      </c>
      <c r="D10" s="23">
        <v>76.2</v>
      </c>
      <c r="E10" s="23">
        <v>77.8</v>
      </c>
      <c r="F10" s="23">
        <v>78.8</v>
      </c>
      <c r="G10" s="23">
        <v>80.3</v>
      </c>
      <c r="H10" s="23">
        <v>81.3</v>
      </c>
      <c r="I10" s="23">
        <v>81.7</v>
      </c>
      <c r="J10" s="23">
        <v>82.1</v>
      </c>
      <c r="K10" s="29">
        <v>82.4</v>
      </c>
      <c r="L10" s="113"/>
      <c r="M10" s="617" t="s">
        <v>27</v>
      </c>
      <c r="N10" s="618"/>
      <c r="O10" s="618"/>
      <c r="P10" s="13"/>
      <c r="Q10" s="13"/>
      <c r="R10" s="13"/>
      <c r="S10" s="13"/>
      <c r="T10" s="13"/>
      <c r="U10" s="13"/>
      <c r="V10" s="13"/>
      <c r="W10" s="13"/>
      <c r="X10" s="13"/>
    </row>
    <row r="11" spans="1:25" ht="24.9" customHeight="1" thickBot="1" x14ac:dyDescent="0.35">
      <c r="A11" s="14">
        <v>6</v>
      </c>
      <c r="B11" s="22">
        <v>61.1</v>
      </c>
      <c r="C11" s="23">
        <v>68.400000000000006</v>
      </c>
      <c r="D11" s="23">
        <v>70.8</v>
      </c>
      <c r="E11" s="23">
        <v>72.599999999999994</v>
      </c>
      <c r="F11" s="23">
        <v>73.900000000000006</v>
      </c>
      <c r="G11" s="23">
        <v>75.900000000000006</v>
      </c>
      <c r="H11" s="23">
        <v>76.900000000000006</v>
      </c>
      <c r="I11" s="23">
        <v>77.5</v>
      </c>
      <c r="J11" s="23">
        <v>78.099999999999994</v>
      </c>
      <c r="K11" s="29">
        <v>78.400000000000006</v>
      </c>
      <c r="L11" s="113"/>
      <c r="M11" s="10"/>
      <c r="N11" s="10"/>
      <c r="O11" s="13"/>
      <c r="P11" s="13"/>
      <c r="Q11" s="13"/>
      <c r="R11" s="13"/>
      <c r="S11" s="13"/>
      <c r="T11" s="13"/>
      <c r="U11" s="13"/>
      <c r="V11" s="13"/>
      <c r="W11" s="13"/>
      <c r="X11" s="13"/>
    </row>
    <row r="12" spans="1:25" ht="17.25" customHeight="1" thickBot="1" x14ac:dyDescent="0.35">
      <c r="A12" s="14">
        <v>7</v>
      </c>
      <c r="B12" s="22">
        <v>55.8</v>
      </c>
      <c r="C12" s="23">
        <v>63.3</v>
      </c>
      <c r="D12" s="23">
        <v>66</v>
      </c>
      <c r="E12" s="23">
        <v>67.900000000000006</v>
      </c>
      <c r="F12" s="23">
        <v>69.3</v>
      </c>
      <c r="G12" s="23">
        <v>71.5</v>
      </c>
      <c r="H12" s="23">
        <v>72.599999999999994</v>
      </c>
      <c r="I12" s="23">
        <v>73.3</v>
      </c>
      <c r="J12" s="23">
        <v>73.900000000000006</v>
      </c>
      <c r="K12" s="29">
        <v>74.3</v>
      </c>
      <c r="L12" s="113"/>
      <c r="M12" s="614" t="s">
        <v>18</v>
      </c>
      <c r="N12" s="615"/>
      <c r="O12" s="616"/>
      <c r="P12" s="13"/>
      <c r="Q12" s="13"/>
      <c r="R12" s="13"/>
      <c r="S12" s="13"/>
      <c r="T12" s="13"/>
      <c r="U12" s="13"/>
      <c r="V12" s="13"/>
      <c r="W12" s="13"/>
      <c r="X12" s="13"/>
    </row>
    <row r="13" spans="1:25" ht="17.25" customHeight="1" thickBot="1" x14ac:dyDescent="0.35">
      <c r="A13" s="14">
        <v>8</v>
      </c>
      <c r="B13" s="22">
        <v>51.1</v>
      </c>
      <c r="C13" s="23">
        <v>58.5</v>
      </c>
      <c r="D13" s="23">
        <v>61.2</v>
      </c>
      <c r="E13" s="23">
        <v>63.2</v>
      </c>
      <c r="F13" s="23">
        <v>64.7</v>
      </c>
      <c r="G13" s="23">
        <v>67.099999999999994</v>
      </c>
      <c r="H13" s="23">
        <v>68.599999999999994</v>
      </c>
      <c r="I13" s="23">
        <v>69.5</v>
      </c>
      <c r="J13" s="23">
        <v>70.099999999999994</v>
      </c>
      <c r="K13" s="29">
        <v>70.5</v>
      </c>
      <c r="L13" s="113"/>
      <c r="M13" s="155" t="s">
        <v>2</v>
      </c>
      <c r="N13" s="147" t="s">
        <v>34</v>
      </c>
      <c r="O13" s="148" t="s">
        <v>24</v>
      </c>
      <c r="P13" s="13"/>
      <c r="Q13" s="13"/>
      <c r="R13" s="13"/>
      <c r="S13" s="13"/>
      <c r="T13" s="13"/>
      <c r="U13" s="13"/>
      <c r="V13" s="13"/>
      <c r="W13" s="13"/>
      <c r="X13" s="13"/>
    </row>
    <row r="14" spans="1:25" ht="17.25" customHeight="1" thickBot="1" x14ac:dyDescent="0.35">
      <c r="A14" s="14">
        <v>9</v>
      </c>
      <c r="B14" s="22">
        <v>46.8</v>
      </c>
      <c r="C14" s="23">
        <v>53.9</v>
      </c>
      <c r="D14" s="23">
        <v>56.8</v>
      </c>
      <c r="E14" s="23">
        <v>58.8</v>
      </c>
      <c r="F14" s="23">
        <v>60.5</v>
      </c>
      <c r="G14" s="23">
        <v>63</v>
      </c>
      <c r="H14" s="23">
        <v>64.599999999999994</v>
      </c>
      <c r="I14" s="23">
        <v>65.599999999999994</v>
      </c>
      <c r="J14" s="23">
        <v>66.3</v>
      </c>
      <c r="K14" s="29">
        <v>66.8</v>
      </c>
      <c r="L14" s="113"/>
      <c r="M14" s="394">
        <v>10</v>
      </c>
      <c r="N14" s="463">
        <v>10</v>
      </c>
      <c r="O14" s="444">
        <f>Interpolate2DTable(M14,N14,A4:K30)</f>
        <v>56.4</v>
      </c>
      <c r="P14" s="13"/>
      <c r="Q14" s="13"/>
      <c r="R14" s="13"/>
      <c r="S14" s="13"/>
      <c r="T14" s="13"/>
      <c r="U14" s="13"/>
      <c r="V14" s="13"/>
      <c r="W14" s="13"/>
      <c r="X14" s="13"/>
    </row>
    <row r="15" spans="1:25" ht="17.25" customHeight="1" x14ac:dyDescent="0.3">
      <c r="A15" s="14">
        <v>10</v>
      </c>
      <c r="B15" s="22">
        <v>42.9</v>
      </c>
      <c r="C15" s="23">
        <v>49.7</v>
      </c>
      <c r="D15" s="23">
        <v>52.5</v>
      </c>
      <c r="E15" s="23">
        <v>54.8</v>
      </c>
      <c r="F15" s="23">
        <v>56.4</v>
      </c>
      <c r="G15" s="23">
        <v>59.2</v>
      </c>
      <c r="H15" s="23">
        <v>60.8</v>
      </c>
      <c r="I15" s="23">
        <v>61.9</v>
      </c>
      <c r="J15" s="23">
        <v>62.6</v>
      </c>
      <c r="K15" s="29">
        <v>63.2</v>
      </c>
      <c r="L15" s="113"/>
      <c r="M15" s="10"/>
      <c r="N15" s="10"/>
      <c r="O15" s="13"/>
      <c r="P15" s="13"/>
      <c r="Q15" s="13"/>
      <c r="R15" s="13"/>
      <c r="S15" s="13"/>
      <c r="T15" s="13"/>
      <c r="U15" s="13"/>
      <c r="V15" s="13"/>
      <c r="W15" s="13"/>
      <c r="X15" s="13"/>
    </row>
    <row r="16" spans="1:25" ht="24.9" customHeight="1" x14ac:dyDescent="0.3">
      <c r="A16" s="14">
        <v>11</v>
      </c>
      <c r="B16" s="22">
        <v>39.299999999999997</v>
      </c>
      <c r="C16" s="23">
        <v>45.9</v>
      </c>
      <c r="D16" s="23">
        <v>48.7</v>
      </c>
      <c r="E16" s="23">
        <v>50.7</v>
      </c>
      <c r="F16" s="23">
        <v>52.5</v>
      </c>
      <c r="G16" s="23">
        <v>55.3</v>
      </c>
      <c r="H16" s="23">
        <v>57.2</v>
      </c>
      <c r="I16" s="23">
        <v>58.3</v>
      </c>
      <c r="J16" s="23">
        <v>59.1</v>
      </c>
      <c r="K16" s="29">
        <v>59.8</v>
      </c>
      <c r="L16" s="113"/>
      <c r="M16" s="10"/>
      <c r="N16" s="10"/>
      <c r="O16" s="13"/>
      <c r="P16" s="13"/>
      <c r="Q16" s="13"/>
      <c r="R16" s="13"/>
      <c r="S16" s="13"/>
      <c r="T16" s="13"/>
      <c r="U16" s="13"/>
      <c r="V16" s="13"/>
      <c r="W16" s="13"/>
      <c r="X16" s="13"/>
    </row>
    <row r="17" spans="1:24" ht="17.25" customHeight="1" x14ac:dyDescent="0.3">
      <c r="A17" s="14">
        <v>12</v>
      </c>
      <c r="B17" s="22">
        <v>36</v>
      </c>
      <c r="C17" s="23">
        <v>42.4</v>
      </c>
      <c r="D17" s="23">
        <v>45</v>
      </c>
      <c r="E17" s="23">
        <v>47.2</v>
      </c>
      <c r="F17" s="23">
        <v>48.9</v>
      </c>
      <c r="G17" s="23">
        <v>51.9</v>
      </c>
      <c r="H17" s="23">
        <v>53.7</v>
      </c>
      <c r="I17" s="23">
        <v>55</v>
      </c>
      <c r="J17" s="23">
        <v>55.8</v>
      </c>
      <c r="K17" s="29">
        <v>56.5</v>
      </c>
      <c r="L17" s="113"/>
      <c r="M17" s="10"/>
      <c r="N17" s="10"/>
      <c r="O17" s="13"/>
      <c r="P17" s="13"/>
      <c r="Q17" s="13"/>
      <c r="R17" s="13"/>
      <c r="S17" s="13"/>
      <c r="T17" s="13"/>
      <c r="U17" s="13"/>
      <c r="V17" s="13"/>
      <c r="W17" s="13"/>
      <c r="X17" s="13"/>
    </row>
    <row r="18" spans="1:24" ht="17.25" customHeight="1" x14ac:dyDescent="0.3">
      <c r="A18" s="14">
        <v>13</v>
      </c>
      <c r="B18" s="22">
        <v>33</v>
      </c>
      <c r="C18" s="23">
        <v>39.1</v>
      </c>
      <c r="D18" s="23">
        <v>41.6</v>
      </c>
      <c r="E18" s="23">
        <v>43.8</v>
      </c>
      <c r="F18" s="23">
        <v>45.6</v>
      </c>
      <c r="G18" s="23">
        <v>48.6</v>
      </c>
      <c r="H18" s="23">
        <v>50.5</v>
      </c>
      <c r="I18" s="23">
        <v>51.8</v>
      </c>
      <c r="J18" s="23">
        <v>52.8</v>
      </c>
      <c r="K18" s="29">
        <v>53.4</v>
      </c>
      <c r="L18" s="113"/>
      <c r="M18" s="10"/>
      <c r="N18" s="10"/>
      <c r="O18" s="13"/>
      <c r="P18" s="13"/>
      <c r="Q18" s="13"/>
      <c r="R18" s="13"/>
      <c r="S18" s="13"/>
      <c r="T18" s="13"/>
      <c r="U18" s="13"/>
      <c r="V18" s="13"/>
      <c r="W18" s="13"/>
      <c r="X18" s="13"/>
    </row>
    <row r="19" spans="1:24" ht="17.25" customHeight="1" x14ac:dyDescent="0.3">
      <c r="A19" s="14">
        <v>14</v>
      </c>
      <c r="B19" s="22">
        <v>30.2</v>
      </c>
      <c r="C19" s="23">
        <v>36.1</v>
      </c>
      <c r="D19" s="23">
        <v>38.700000000000003</v>
      </c>
      <c r="E19" s="23">
        <v>40.700000000000003</v>
      </c>
      <c r="F19" s="23">
        <v>42.4</v>
      </c>
      <c r="G19" s="23">
        <v>45.4</v>
      </c>
      <c r="H19" s="23">
        <v>47.4</v>
      </c>
      <c r="I19" s="23">
        <v>48.7</v>
      </c>
      <c r="J19" s="23">
        <v>49.8</v>
      </c>
      <c r="K19" s="29">
        <v>50.5</v>
      </c>
      <c r="L19" s="113"/>
      <c r="M19" s="10"/>
      <c r="N19" s="10"/>
      <c r="O19" s="13"/>
      <c r="P19" s="13"/>
      <c r="Q19" s="13"/>
      <c r="R19" s="13"/>
      <c r="S19" s="13"/>
      <c r="T19" s="13"/>
      <c r="U19" s="13"/>
      <c r="V19" s="13"/>
      <c r="W19" s="13"/>
      <c r="X19" s="13"/>
    </row>
    <row r="20" spans="1:24" ht="17.25" customHeight="1" x14ac:dyDescent="0.3">
      <c r="A20" s="14">
        <v>15</v>
      </c>
      <c r="B20" s="22">
        <v>27.7</v>
      </c>
      <c r="C20" s="23">
        <v>33.200000000000003</v>
      </c>
      <c r="D20" s="23">
        <v>35.700000000000003</v>
      </c>
      <c r="E20" s="23">
        <v>37.6</v>
      </c>
      <c r="F20" s="23">
        <v>39.4</v>
      </c>
      <c r="G20" s="23">
        <v>42.5</v>
      </c>
      <c r="H20" s="23">
        <v>44.5</v>
      </c>
      <c r="I20" s="23">
        <v>45.9</v>
      </c>
      <c r="J20" s="23">
        <v>46.9</v>
      </c>
      <c r="K20" s="29">
        <v>47.6</v>
      </c>
      <c r="L20" s="113"/>
      <c r="M20" s="10"/>
      <c r="N20" s="10"/>
      <c r="O20" s="13"/>
      <c r="P20" s="13"/>
      <c r="Q20" s="13"/>
      <c r="R20" s="13"/>
      <c r="S20" s="13"/>
      <c r="T20" s="13"/>
      <c r="U20" s="13"/>
      <c r="V20" s="13"/>
      <c r="W20" s="13"/>
      <c r="X20" s="13"/>
    </row>
    <row r="21" spans="1:24" ht="24.9" customHeight="1" x14ac:dyDescent="0.3">
      <c r="A21" s="14">
        <v>16</v>
      </c>
      <c r="B21" s="22">
        <v>25.4</v>
      </c>
      <c r="C21" s="23">
        <v>30.8</v>
      </c>
      <c r="D21" s="23">
        <v>33</v>
      </c>
      <c r="E21" s="23">
        <v>35</v>
      </c>
      <c r="F21" s="23">
        <v>36.799999999999997</v>
      </c>
      <c r="G21" s="23">
        <v>39.700000000000003</v>
      </c>
      <c r="H21" s="23">
        <v>41.8</v>
      </c>
      <c r="I21" s="23">
        <v>43.2</v>
      </c>
      <c r="J21" s="23">
        <v>44.2</v>
      </c>
      <c r="K21" s="29">
        <v>45</v>
      </c>
      <c r="L21" s="113"/>
      <c r="M21" s="10"/>
      <c r="N21" s="10"/>
      <c r="O21" s="13"/>
      <c r="P21" s="13"/>
      <c r="Q21" s="13"/>
      <c r="R21" s="13"/>
      <c r="S21" s="13"/>
      <c r="T21" s="13"/>
      <c r="U21" s="13"/>
      <c r="V21" s="13"/>
      <c r="W21" s="13"/>
      <c r="X21" s="13"/>
    </row>
    <row r="22" spans="1:24" ht="17.25" customHeight="1" x14ac:dyDescent="0.3">
      <c r="A22" s="14">
        <v>17</v>
      </c>
      <c r="B22" s="22">
        <v>23.3</v>
      </c>
      <c r="C22" s="23">
        <v>28.3</v>
      </c>
      <c r="D22" s="23">
        <v>30.5</v>
      </c>
      <c r="E22" s="23">
        <v>32.5</v>
      </c>
      <c r="F22" s="23">
        <v>34.1</v>
      </c>
      <c r="G22" s="23">
        <v>37.1</v>
      </c>
      <c r="H22" s="23">
        <v>39.200000000000003</v>
      </c>
      <c r="I22" s="23">
        <v>40.5</v>
      </c>
      <c r="J22" s="23">
        <v>41.6</v>
      </c>
      <c r="K22" s="29">
        <v>42.4</v>
      </c>
      <c r="L22" s="113"/>
      <c r="M22" s="10"/>
      <c r="N22" s="10"/>
      <c r="O22" s="13"/>
      <c r="P22" s="13"/>
      <c r="Q22" s="13"/>
      <c r="R22" s="13"/>
      <c r="S22" s="13"/>
      <c r="T22" s="13"/>
      <c r="U22" s="13"/>
      <c r="V22" s="13"/>
      <c r="W22" s="13"/>
      <c r="X22" s="13"/>
    </row>
    <row r="23" spans="1:24" ht="17.25" customHeight="1" x14ac:dyDescent="0.3">
      <c r="A23" s="14">
        <v>18</v>
      </c>
      <c r="B23" s="22">
        <v>21.4</v>
      </c>
      <c r="C23" s="23">
        <v>26.2</v>
      </c>
      <c r="D23" s="23">
        <v>28.3</v>
      </c>
      <c r="E23" s="23">
        <v>30.2</v>
      </c>
      <c r="F23" s="23">
        <v>31.7</v>
      </c>
      <c r="G23" s="23">
        <v>34.700000000000003</v>
      </c>
      <c r="H23" s="23">
        <v>36.700000000000003</v>
      </c>
      <c r="I23" s="23">
        <v>38.1</v>
      </c>
      <c r="J23" s="23">
        <v>39.200000000000003</v>
      </c>
      <c r="K23" s="29">
        <v>39.9</v>
      </c>
      <c r="L23" s="113"/>
      <c r="M23" s="10"/>
      <c r="N23" s="10"/>
      <c r="O23" s="13"/>
      <c r="P23" s="13"/>
      <c r="Q23" s="13"/>
      <c r="R23" s="13"/>
      <c r="S23" s="13"/>
      <c r="T23" s="13"/>
      <c r="U23" s="13"/>
      <c r="V23" s="13"/>
      <c r="W23" s="13"/>
      <c r="X23" s="13"/>
    </row>
    <row r="24" spans="1:24" ht="17.25" customHeight="1" x14ac:dyDescent="0.3">
      <c r="A24" s="14">
        <v>19</v>
      </c>
      <c r="B24" s="22">
        <v>19.600000000000001</v>
      </c>
      <c r="C24" s="23">
        <v>24.1</v>
      </c>
      <c r="D24" s="23">
        <v>26.1</v>
      </c>
      <c r="E24" s="23">
        <v>28</v>
      </c>
      <c r="F24" s="23">
        <v>29.5</v>
      </c>
      <c r="G24" s="23">
        <v>32.4</v>
      </c>
      <c r="H24" s="23">
        <v>34.4</v>
      </c>
      <c r="I24" s="23">
        <v>35.799999999999997</v>
      </c>
      <c r="J24" s="23">
        <v>36.9</v>
      </c>
      <c r="K24" s="29">
        <v>37.700000000000003</v>
      </c>
      <c r="L24" s="113"/>
      <c r="M24" s="10"/>
      <c r="N24" s="10"/>
      <c r="O24" s="13"/>
      <c r="P24" s="13"/>
      <c r="Q24" s="13"/>
      <c r="R24" s="13"/>
      <c r="S24" s="13"/>
      <c r="T24" s="13"/>
      <c r="U24" s="13"/>
      <c r="V24" s="13"/>
      <c r="W24" s="13"/>
      <c r="X24" s="13"/>
    </row>
    <row r="25" spans="1:24" ht="17.25" customHeight="1" x14ac:dyDescent="0.3">
      <c r="A25" s="14">
        <v>20</v>
      </c>
      <c r="B25" s="22">
        <v>18</v>
      </c>
      <c r="C25" s="23">
        <v>22.2</v>
      </c>
      <c r="D25" s="23">
        <v>24.1</v>
      </c>
      <c r="E25" s="23">
        <v>25.8</v>
      </c>
      <c r="F25" s="23">
        <v>27.4</v>
      </c>
      <c r="G25" s="23">
        <v>30.2</v>
      </c>
      <c r="H25" s="23">
        <v>32.200000000000003</v>
      </c>
      <c r="I25" s="23">
        <v>33.5</v>
      </c>
      <c r="J25" s="23">
        <v>34.700000000000003</v>
      </c>
      <c r="K25" s="29">
        <v>35.5</v>
      </c>
      <c r="L25" s="113"/>
      <c r="M25" s="10"/>
      <c r="N25" s="10"/>
      <c r="O25" s="13"/>
      <c r="P25" s="13"/>
      <c r="Q25" s="13"/>
      <c r="R25" s="13"/>
      <c r="S25" s="13"/>
      <c r="T25" s="13"/>
      <c r="U25" s="13"/>
      <c r="V25" s="13"/>
      <c r="W25" s="13"/>
      <c r="X25" s="13"/>
    </row>
    <row r="26" spans="1:24" ht="24.9" customHeight="1" x14ac:dyDescent="0.3">
      <c r="A26" s="14">
        <v>22</v>
      </c>
      <c r="B26" s="22">
        <v>15.2</v>
      </c>
      <c r="C26" s="23">
        <v>19</v>
      </c>
      <c r="D26" s="23">
        <v>20.7</v>
      </c>
      <c r="E26" s="23">
        <v>22.3</v>
      </c>
      <c r="F26" s="23">
        <v>23.7</v>
      </c>
      <c r="G26" s="23">
        <v>26.5</v>
      </c>
      <c r="H26" s="23">
        <v>28.4</v>
      </c>
      <c r="I26" s="23">
        <v>29.8</v>
      </c>
      <c r="J26" s="23">
        <v>30.8</v>
      </c>
      <c r="K26" s="29">
        <v>31.5</v>
      </c>
      <c r="L26" s="113"/>
      <c r="M26" s="10"/>
      <c r="N26" s="10"/>
      <c r="O26" s="13"/>
      <c r="P26" s="13"/>
      <c r="Q26" s="13"/>
      <c r="R26" s="13"/>
      <c r="S26" s="13"/>
      <c r="T26" s="13"/>
      <c r="U26" s="13"/>
      <c r="V26" s="13"/>
      <c r="W26" s="13"/>
      <c r="X26" s="13"/>
    </row>
    <row r="27" spans="1:24" ht="17.25" customHeight="1" x14ac:dyDescent="0.3">
      <c r="A27" s="14">
        <v>24</v>
      </c>
      <c r="B27" s="22">
        <v>12.8</v>
      </c>
      <c r="C27" s="23">
        <v>16.2</v>
      </c>
      <c r="D27" s="23">
        <v>17.7</v>
      </c>
      <c r="E27" s="23">
        <v>19.2</v>
      </c>
      <c r="F27" s="23">
        <v>20.5</v>
      </c>
      <c r="G27" s="23">
        <v>23.1</v>
      </c>
      <c r="H27" s="23">
        <v>24.9</v>
      </c>
      <c r="I27" s="23">
        <v>26.2</v>
      </c>
      <c r="J27" s="23">
        <v>27.3</v>
      </c>
      <c r="K27" s="29">
        <v>28.1</v>
      </c>
      <c r="L27" s="113"/>
      <c r="M27" s="10"/>
      <c r="N27" s="10"/>
      <c r="O27" s="13"/>
      <c r="P27" s="13"/>
      <c r="Q27" s="13"/>
      <c r="R27" s="13"/>
      <c r="S27" s="13"/>
      <c r="T27" s="13"/>
      <c r="U27" s="13"/>
      <c r="V27" s="13"/>
      <c r="W27" s="13"/>
      <c r="X27" s="13"/>
    </row>
    <row r="28" spans="1:24" ht="17.25" customHeight="1" x14ac:dyDescent="0.3">
      <c r="A28" s="14">
        <v>26</v>
      </c>
      <c r="B28" s="22">
        <v>10.8</v>
      </c>
      <c r="C28" s="23">
        <v>13.8</v>
      </c>
      <c r="D28" s="23">
        <v>15.2</v>
      </c>
      <c r="E28" s="23">
        <v>16.600000000000001</v>
      </c>
      <c r="F28" s="23">
        <v>17.8</v>
      </c>
      <c r="G28" s="23">
        <v>20.2</v>
      </c>
      <c r="H28" s="23">
        <v>21.9</v>
      </c>
      <c r="I28" s="23">
        <v>23.2</v>
      </c>
      <c r="J28" s="23">
        <v>24.2</v>
      </c>
      <c r="K28" s="29">
        <v>24.9</v>
      </c>
      <c r="L28" s="113"/>
      <c r="M28" s="10"/>
      <c r="N28" s="10"/>
      <c r="O28" s="13"/>
      <c r="P28" s="13"/>
      <c r="Q28" s="13"/>
      <c r="R28" s="13"/>
      <c r="S28" s="13"/>
      <c r="T28" s="13"/>
      <c r="U28" s="13"/>
      <c r="V28" s="13"/>
      <c r="W28" s="13"/>
      <c r="X28" s="13"/>
    </row>
    <row r="29" spans="1:24" ht="17.25" customHeight="1" x14ac:dyDescent="0.3">
      <c r="A29" s="14">
        <v>28</v>
      </c>
      <c r="B29" s="22">
        <v>9.1</v>
      </c>
      <c r="C29" s="23">
        <v>11.8</v>
      </c>
      <c r="D29" s="23">
        <v>13.1</v>
      </c>
      <c r="E29" s="23">
        <v>14.4</v>
      </c>
      <c r="F29" s="23">
        <v>15.4</v>
      </c>
      <c r="G29" s="23">
        <v>17.7</v>
      </c>
      <c r="H29" s="23">
        <v>19.3</v>
      </c>
      <c r="I29" s="23">
        <v>20.6</v>
      </c>
      <c r="J29" s="23">
        <v>21.5</v>
      </c>
      <c r="K29" s="29">
        <v>22.1</v>
      </c>
      <c r="L29" s="113"/>
      <c r="M29" s="10"/>
      <c r="N29" s="10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ht="17.25" customHeight="1" thickBot="1" x14ac:dyDescent="0.35">
      <c r="A30" s="18">
        <v>30</v>
      </c>
      <c r="B30" s="30">
        <v>7.7</v>
      </c>
      <c r="C30" s="31">
        <v>10.1</v>
      </c>
      <c r="D30" s="31">
        <v>11.2</v>
      </c>
      <c r="E30" s="31">
        <v>12.3</v>
      </c>
      <c r="F30" s="31">
        <v>13.3</v>
      </c>
      <c r="G30" s="31">
        <v>15.4</v>
      </c>
      <c r="H30" s="31">
        <v>17</v>
      </c>
      <c r="I30" s="31">
        <v>18.2</v>
      </c>
      <c r="J30" s="31">
        <v>19</v>
      </c>
      <c r="K30" s="32">
        <v>19.600000000000001</v>
      </c>
      <c r="L30" s="113"/>
      <c r="M30" s="10"/>
      <c r="N30" s="10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ht="12.9" thickTop="1" x14ac:dyDescent="0.3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6"/>
      <c r="P31" s="6"/>
    </row>
    <row r="32" spans="1:24" x14ac:dyDescent="0.3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6"/>
      <c r="P32" s="6"/>
    </row>
    <row r="33" spans="9:9" x14ac:dyDescent="0.3">
      <c r="I33" s="10"/>
    </row>
    <row r="34" spans="9:9" x14ac:dyDescent="0.3">
      <c r="I34" s="10"/>
    </row>
  </sheetData>
  <mergeCells count="4">
    <mergeCell ref="A1:K1"/>
    <mergeCell ref="A2:K2"/>
    <mergeCell ref="M12:O12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50"/>
  <sheetViews>
    <sheetView showGridLines="0" workbookViewId="0">
      <selection activeCell="A2" sqref="A2:K2"/>
    </sheetView>
  </sheetViews>
  <sheetFormatPr defaultRowHeight="12.45" x14ac:dyDescent="0.3"/>
  <cols>
    <col min="1" max="1" width="9.3046875" customWidth="1"/>
    <col min="2" max="11" width="7.69140625" customWidth="1"/>
  </cols>
  <sheetData>
    <row r="1" spans="1:15" s="223" customFormat="1" ht="30" customHeight="1" x14ac:dyDescent="0.4">
      <c r="A1" s="523" t="s">
        <v>4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220"/>
      <c r="M1" s="221"/>
      <c r="N1" s="222"/>
      <c r="O1" s="222"/>
    </row>
    <row r="2" spans="1:15" ht="24" customHeight="1" thickBot="1" x14ac:dyDescent="0.35">
      <c r="A2" s="612" t="s">
        <v>127</v>
      </c>
      <c r="B2" s="613"/>
      <c r="C2" s="613"/>
      <c r="D2" s="613"/>
      <c r="E2" s="613"/>
      <c r="F2" s="613"/>
      <c r="G2" s="613"/>
      <c r="H2" s="613"/>
      <c r="I2" s="613"/>
      <c r="J2" s="613"/>
      <c r="K2" s="613"/>
      <c r="L2" s="210"/>
      <c r="M2" s="211"/>
      <c r="N2" s="212"/>
      <c r="O2" s="239"/>
    </row>
    <row r="3" spans="1:15" ht="21.9" customHeight="1" thickTop="1" thickBot="1" x14ac:dyDescent="0.35">
      <c r="A3" s="58" t="s">
        <v>37</v>
      </c>
      <c r="B3" s="96">
        <v>0</v>
      </c>
      <c r="C3" s="97">
        <v>4</v>
      </c>
      <c r="D3" s="97">
        <v>6</v>
      </c>
      <c r="E3" s="97">
        <v>8</v>
      </c>
      <c r="F3" s="97">
        <v>10</v>
      </c>
      <c r="G3" s="97">
        <v>15</v>
      </c>
      <c r="H3" s="97">
        <v>20</v>
      </c>
      <c r="I3" s="97">
        <v>25</v>
      </c>
      <c r="J3" s="97">
        <v>30</v>
      </c>
      <c r="K3" s="98">
        <v>35</v>
      </c>
      <c r="L3" s="6"/>
      <c r="M3" s="6"/>
      <c r="N3" s="6"/>
      <c r="O3" s="6"/>
    </row>
    <row r="4" spans="1:15" ht="17.25" customHeight="1" thickTop="1" x14ac:dyDescent="0.3">
      <c r="A4" s="9" t="s">
        <v>3</v>
      </c>
      <c r="B4" s="116">
        <v>0</v>
      </c>
      <c r="C4" s="117">
        <v>4</v>
      </c>
      <c r="D4" s="117">
        <v>6</v>
      </c>
      <c r="E4" s="117">
        <v>8</v>
      </c>
      <c r="F4" s="117">
        <v>10</v>
      </c>
      <c r="G4" s="117">
        <v>15</v>
      </c>
      <c r="H4" s="117">
        <v>20</v>
      </c>
      <c r="I4" s="117">
        <v>25</v>
      </c>
      <c r="J4" s="117">
        <v>30</v>
      </c>
      <c r="K4" s="118">
        <v>35</v>
      </c>
      <c r="L4" s="10"/>
      <c r="M4" s="10"/>
      <c r="N4" s="6"/>
      <c r="O4" s="6"/>
    </row>
    <row r="5" spans="1:15" ht="17.25" customHeight="1" x14ac:dyDescent="0.3">
      <c r="A5" s="14">
        <v>0.5</v>
      </c>
      <c r="B5" s="15">
        <v>1</v>
      </c>
      <c r="C5" s="16">
        <v>1</v>
      </c>
      <c r="D5" s="16">
        <v>1</v>
      </c>
      <c r="E5" s="16">
        <v>1</v>
      </c>
      <c r="F5" s="16">
        <v>1</v>
      </c>
      <c r="G5" s="16">
        <v>1</v>
      </c>
      <c r="H5" s="16">
        <v>1</v>
      </c>
      <c r="I5" s="16">
        <v>1</v>
      </c>
      <c r="J5" s="16">
        <v>1</v>
      </c>
      <c r="K5" s="17">
        <v>1</v>
      </c>
      <c r="L5" s="10"/>
      <c r="M5" s="10"/>
      <c r="N5" s="6"/>
      <c r="O5" s="6"/>
    </row>
    <row r="6" spans="1:15" ht="17.25" customHeight="1" x14ac:dyDescent="0.3">
      <c r="A6" s="14">
        <v>1</v>
      </c>
      <c r="B6" s="15">
        <v>0.96799999999999997</v>
      </c>
      <c r="C6" s="16">
        <v>0.98449612403100772</v>
      </c>
      <c r="D6" s="16">
        <v>0.98942307692307685</v>
      </c>
      <c r="E6" s="16">
        <v>0.99141221374045785</v>
      </c>
      <c r="F6" s="16">
        <v>0.9943074003795066</v>
      </c>
      <c r="G6" s="16">
        <v>0.99531835205992503</v>
      </c>
      <c r="H6" s="16">
        <v>0.99536178107606665</v>
      </c>
      <c r="I6" s="16">
        <v>0.99631336405529958</v>
      </c>
      <c r="J6" s="16">
        <v>0.99724517906336096</v>
      </c>
      <c r="K6" s="17">
        <v>0.99725526075022886</v>
      </c>
      <c r="L6" s="10"/>
      <c r="M6" s="10"/>
      <c r="N6" s="6"/>
      <c r="O6" s="6"/>
    </row>
    <row r="7" spans="1:15" ht="17.25" customHeight="1" x14ac:dyDescent="0.3">
      <c r="A7" s="14">
        <v>2</v>
      </c>
      <c r="B7" s="15">
        <v>0.90600000000000003</v>
      </c>
      <c r="C7" s="16">
        <v>0.94767441860465107</v>
      </c>
      <c r="D7" s="16">
        <v>0.96057692307692299</v>
      </c>
      <c r="E7" s="16">
        <v>0.96564885496183206</v>
      </c>
      <c r="F7" s="16">
        <v>0.97058823529411753</v>
      </c>
      <c r="G7" s="16">
        <v>0.97565543071161043</v>
      </c>
      <c r="H7" s="16">
        <v>0.97866419294990714</v>
      </c>
      <c r="I7" s="16">
        <v>0.98064516129032264</v>
      </c>
      <c r="J7" s="16">
        <v>0.98255280073461904</v>
      </c>
      <c r="K7" s="17">
        <v>0.98353156450137236</v>
      </c>
      <c r="L7" s="10"/>
      <c r="M7" s="10"/>
      <c r="N7" s="6"/>
      <c r="O7" s="6"/>
    </row>
    <row r="8" spans="1:15" ht="17.25" customHeight="1" x14ac:dyDescent="0.3">
      <c r="A8" s="14">
        <v>3</v>
      </c>
      <c r="B8" s="15">
        <v>0.84899999999999998</v>
      </c>
      <c r="C8" s="16">
        <v>0.90697674418604657</v>
      </c>
      <c r="D8" s="16">
        <v>0.92403846153846148</v>
      </c>
      <c r="E8" s="16">
        <v>0.93320610687022898</v>
      </c>
      <c r="F8" s="16">
        <v>0.94117647058823528</v>
      </c>
      <c r="G8" s="16">
        <v>0.949438202247191</v>
      </c>
      <c r="H8" s="16">
        <v>0.95640074211502768</v>
      </c>
      <c r="I8" s="16">
        <v>0.95852534562211988</v>
      </c>
      <c r="J8" s="16">
        <v>0.96235078053259882</v>
      </c>
      <c r="K8" s="17">
        <v>0.96340347666971637</v>
      </c>
      <c r="L8" s="10"/>
      <c r="M8" s="10"/>
      <c r="N8" s="6"/>
      <c r="O8" s="6"/>
    </row>
    <row r="9" spans="1:15" ht="17.25" customHeight="1" x14ac:dyDescent="0.3">
      <c r="A9" s="14">
        <v>4</v>
      </c>
      <c r="B9" s="15">
        <v>0.79500000000000004</v>
      </c>
      <c r="C9" s="16">
        <v>0.86531007751937983</v>
      </c>
      <c r="D9" s="16">
        <v>0.88557692307692304</v>
      </c>
      <c r="E9" s="16">
        <v>0.89885496183206093</v>
      </c>
      <c r="F9" s="16">
        <v>0.90796963946869058</v>
      </c>
      <c r="G9" s="16">
        <v>0.92134831460674149</v>
      </c>
      <c r="H9" s="16">
        <v>0.9304267161410017</v>
      </c>
      <c r="I9" s="16">
        <v>0.93456221198156686</v>
      </c>
      <c r="J9" s="16">
        <v>0.93847566574839303</v>
      </c>
      <c r="K9" s="17">
        <v>0.94053064958828914</v>
      </c>
      <c r="L9" s="10"/>
      <c r="M9" s="10"/>
      <c r="N9" s="6"/>
      <c r="O9" s="6"/>
    </row>
    <row r="10" spans="1:15" ht="17.25" customHeight="1" x14ac:dyDescent="0.3">
      <c r="A10" s="14">
        <v>5</v>
      </c>
      <c r="B10" s="15">
        <v>0.74399999999999999</v>
      </c>
      <c r="C10" s="16">
        <v>0.82073643410852704</v>
      </c>
      <c r="D10" s="16">
        <v>0.84615384615384615</v>
      </c>
      <c r="E10" s="16">
        <v>0.86259541984732824</v>
      </c>
      <c r="F10" s="16">
        <v>0.87381404174573052</v>
      </c>
      <c r="G10" s="16">
        <v>0.89232209737827706</v>
      </c>
      <c r="H10" s="16">
        <v>0.90352504638218911</v>
      </c>
      <c r="I10" s="16">
        <v>0.90875576036866357</v>
      </c>
      <c r="J10" s="16">
        <v>0.91460055096418735</v>
      </c>
      <c r="K10" s="17">
        <v>0.91674290942360481</v>
      </c>
      <c r="L10" s="10"/>
      <c r="M10" s="617" t="s">
        <v>27</v>
      </c>
      <c r="N10" s="618"/>
      <c r="O10" s="618"/>
    </row>
    <row r="11" spans="1:15" ht="24.9" customHeight="1" thickBot="1" x14ac:dyDescent="0.35">
      <c r="A11" s="14">
        <v>6</v>
      </c>
      <c r="B11" s="15">
        <v>0.69699999999999995</v>
      </c>
      <c r="C11" s="16">
        <v>0.77616279069767447</v>
      </c>
      <c r="D11" s="16">
        <v>0.80288461538461531</v>
      </c>
      <c r="E11" s="16">
        <v>0.8225190839694656</v>
      </c>
      <c r="F11" s="16">
        <v>0.83870967741935476</v>
      </c>
      <c r="G11" s="16">
        <v>0.86142322097378277</v>
      </c>
      <c r="H11" s="16">
        <v>0.87384044526901661</v>
      </c>
      <c r="I11" s="16">
        <v>0.88202764976958525</v>
      </c>
      <c r="J11" s="16">
        <v>0.88797061524334253</v>
      </c>
      <c r="K11" s="17">
        <v>0.89204025617566329</v>
      </c>
      <c r="L11" s="10"/>
      <c r="M11" s="10"/>
      <c r="N11" s="6"/>
      <c r="O11" s="6"/>
    </row>
    <row r="12" spans="1:15" ht="17.25" customHeight="1" thickBot="1" x14ac:dyDescent="0.35">
      <c r="A12" s="14">
        <v>7</v>
      </c>
      <c r="B12" s="15">
        <v>0.65200000000000002</v>
      </c>
      <c r="C12" s="16">
        <v>0.73255813953488369</v>
      </c>
      <c r="D12" s="16">
        <v>0.76346153846153852</v>
      </c>
      <c r="E12" s="16">
        <v>0.78530534351145032</v>
      </c>
      <c r="F12" s="16">
        <v>0.80170777988614794</v>
      </c>
      <c r="G12" s="16">
        <v>0.82958801498127333</v>
      </c>
      <c r="H12" s="16">
        <v>0.8432282003710575</v>
      </c>
      <c r="I12" s="16">
        <v>0.85161290322580652</v>
      </c>
      <c r="J12" s="16">
        <v>0.8604224058769514</v>
      </c>
      <c r="K12" s="17">
        <v>0.86459286367795052</v>
      </c>
      <c r="L12" s="10"/>
      <c r="M12" s="619" t="s">
        <v>18</v>
      </c>
      <c r="N12" s="620"/>
      <c r="O12" s="621"/>
    </row>
    <row r="13" spans="1:15" ht="17.25" customHeight="1" thickBot="1" x14ac:dyDescent="0.35">
      <c r="A13" s="14">
        <v>8</v>
      </c>
      <c r="B13" s="15">
        <v>0.61099999999999999</v>
      </c>
      <c r="C13" s="16">
        <v>0.69282945736434098</v>
      </c>
      <c r="D13" s="16">
        <v>0.7221153846153846</v>
      </c>
      <c r="E13" s="16">
        <v>0.74618320610687028</v>
      </c>
      <c r="F13" s="16">
        <v>0.76375711574952565</v>
      </c>
      <c r="G13" s="16">
        <v>0.79494382022471899</v>
      </c>
      <c r="H13" s="16">
        <v>0.81261595547309828</v>
      </c>
      <c r="I13" s="16">
        <v>0.8248847926267282</v>
      </c>
      <c r="J13" s="16">
        <v>0.83379247015610658</v>
      </c>
      <c r="K13" s="17">
        <v>0.83806038426349505</v>
      </c>
      <c r="L13" s="10"/>
      <c r="M13" s="155" t="s">
        <v>2</v>
      </c>
      <c r="N13" s="147" t="s">
        <v>39</v>
      </c>
      <c r="O13" s="148" t="s">
        <v>19</v>
      </c>
    </row>
    <row r="14" spans="1:15" ht="17.25" customHeight="1" thickBot="1" x14ac:dyDescent="0.35">
      <c r="A14" s="14">
        <v>9</v>
      </c>
      <c r="B14" s="15">
        <v>0.57199999999999995</v>
      </c>
      <c r="C14" s="16">
        <v>0.65116279069767447</v>
      </c>
      <c r="D14" s="16">
        <v>0.68461538461538451</v>
      </c>
      <c r="E14" s="16">
        <v>0.7080152671755725</v>
      </c>
      <c r="F14" s="16">
        <v>0.72960151802656548</v>
      </c>
      <c r="G14" s="16">
        <v>0.76123595505617969</v>
      </c>
      <c r="H14" s="16">
        <v>0.78200371057513907</v>
      </c>
      <c r="I14" s="16">
        <v>0.79447004608294935</v>
      </c>
      <c r="J14" s="16">
        <v>0.80440771349862261</v>
      </c>
      <c r="K14" s="17">
        <v>0.81152790484903936</v>
      </c>
      <c r="L14" s="10"/>
      <c r="M14" s="394">
        <v>10</v>
      </c>
      <c r="N14" s="463">
        <v>10</v>
      </c>
      <c r="O14" s="148">
        <f>Interpolate2DTable(M14,N14,A4:K30)</f>
        <v>0.69354838709677413</v>
      </c>
    </row>
    <row r="15" spans="1:15" ht="17.25" customHeight="1" x14ac:dyDescent="0.3">
      <c r="A15" s="14">
        <v>10</v>
      </c>
      <c r="B15" s="15">
        <v>0.53600000000000003</v>
      </c>
      <c r="C15" s="16">
        <v>0.61143410852713176</v>
      </c>
      <c r="D15" s="16">
        <v>0.64519230769230773</v>
      </c>
      <c r="E15" s="16">
        <v>0.67175572519083959</v>
      </c>
      <c r="F15" s="16">
        <v>0.69354838709677413</v>
      </c>
      <c r="G15" s="16">
        <v>0.72940074906367036</v>
      </c>
      <c r="H15" s="16">
        <v>0.75046382189239336</v>
      </c>
      <c r="I15" s="16">
        <v>0.76589861751152077</v>
      </c>
      <c r="J15" s="16">
        <v>0.77594123048668506</v>
      </c>
      <c r="K15" s="17">
        <v>0.7831655992680695</v>
      </c>
      <c r="L15" s="10"/>
      <c r="M15" s="10"/>
      <c r="N15" s="6"/>
      <c r="O15" s="6"/>
    </row>
    <row r="16" spans="1:15" ht="24.9" customHeight="1" x14ac:dyDescent="0.3">
      <c r="A16" s="14">
        <v>11</v>
      </c>
      <c r="B16" s="15">
        <v>0.502</v>
      </c>
      <c r="C16" s="16">
        <v>0.57751937984496116</v>
      </c>
      <c r="D16" s="16">
        <v>0.60961538461538456</v>
      </c>
      <c r="E16" s="16">
        <v>0.6354961832061069</v>
      </c>
      <c r="F16" s="16">
        <v>0.65654648956356731</v>
      </c>
      <c r="G16" s="16">
        <v>0.69475655430711603</v>
      </c>
      <c r="H16" s="16">
        <v>0.71985157699443414</v>
      </c>
      <c r="I16" s="16">
        <v>0.73548387096774204</v>
      </c>
      <c r="J16" s="16">
        <v>0.7474747474747474</v>
      </c>
      <c r="K16" s="17">
        <v>0.75571820677035684</v>
      </c>
      <c r="L16" s="10"/>
      <c r="M16" s="10"/>
      <c r="N16" s="6"/>
      <c r="O16" s="6"/>
    </row>
    <row r="17" spans="1:15" ht="17.25" customHeight="1" x14ac:dyDescent="0.3">
      <c r="A17" s="14">
        <v>12</v>
      </c>
      <c r="B17" s="15">
        <v>0.47</v>
      </c>
      <c r="C17" s="16">
        <v>0.54263565891472876</v>
      </c>
      <c r="D17" s="16">
        <v>0.57499999999999996</v>
      </c>
      <c r="E17" s="16">
        <v>0.60019083969465647</v>
      </c>
      <c r="F17" s="16">
        <v>0.62428842504743831</v>
      </c>
      <c r="G17" s="16">
        <v>0.66385767790262162</v>
      </c>
      <c r="H17" s="16">
        <v>0.68923933209647492</v>
      </c>
      <c r="I17" s="16">
        <v>0.70691244239631346</v>
      </c>
      <c r="J17" s="16">
        <v>0.71992653810835638</v>
      </c>
      <c r="K17" s="17">
        <v>0.72827081427264417</v>
      </c>
      <c r="L17" s="10"/>
      <c r="M17" s="10"/>
      <c r="N17" s="6"/>
      <c r="O17" s="6"/>
    </row>
    <row r="18" spans="1:15" ht="17.25" customHeight="1" x14ac:dyDescent="0.3">
      <c r="A18" s="14">
        <v>13</v>
      </c>
      <c r="B18" s="15">
        <v>0.44</v>
      </c>
      <c r="C18" s="16">
        <v>0.50968992248062017</v>
      </c>
      <c r="D18" s="16">
        <v>0.54134615384615381</v>
      </c>
      <c r="E18" s="16">
        <v>0.5677480916030534</v>
      </c>
      <c r="F18" s="16">
        <v>0.59108159392789372</v>
      </c>
      <c r="G18" s="16">
        <v>0.6320224719101124</v>
      </c>
      <c r="H18" s="16">
        <v>0.66048237476808902</v>
      </c>
      <c r="I18" s="16">
        <v>0.67834101382488476</v>
      </c>
      <c r="J18" s="16">
        <v>0.69237832874196514</v>
      </c>
      <c r="K18" s="17">
        <v>0.70356816102470265</v>
      </c>
      <c r="L18" s="10"/>
      <c r="M18" s="10"/>
      <c r="N18" s="6"/>
      <c r="O18" s="6"/>
    </row>
    <row r="19" spans="1:15" ht="17.25" customHeight="1" x14ac:dyDescent="0.3">
      <c r="A19" s="14">
        <v>14</v>
      </c>
      <c r="B19" s="15">
        <v>0.41199999999999998</v>
      </c>
      <c r="C19" s="16">
        <v>0.48062015503875966</v>
      </c>
      <c r="D19" s="16">
        <v>0.50961538461538458</v>
      </c>
      <c r="E19" s="16">
        <v>0.53721374045801518</v>
      </c>
      <c r="F19" s="16">
        <v>0.55882352941176461</v>
      </c>
      <c r="G19" s="16">
        <v>0.60018726591760296</v>
      </c>
      <c r="H19" s="16">
        <v>0.63079777365491652</v>
      </c>
      <c r="I19" s="16">
        <v>0.64976958525345618</v>
      </c>
      <c r="J19" s="16">
        <v>0.6648301193755739</v>
      </c>
      <c r="K19" s="17">
        <v>0.67612076852698999</v>
      </c>
      <c r="L19" s="10"/>
      <c r="M19" s="10"/>
      <c r="N19" s="6"/>
      <c r="O19" s="6"/>
    </row>
    <row r="20" spans="1:15" ht="17.25" customHeight="1" x14ac:dyDescent="0.3">
      <c r="A20" s="14">
        <v>15</v>
      </c>
      <c r="B20" s="15">
        <v>0.38600000000000001</v>
      </c>
      <c r="C20" s="16">
        <v>0.45058139534883723</v>
      </c>
      <c r="D20" s="16">
        <v>0.48076923076923073</v>
      </c>
      <c r="E20" s="16">
        <v>0.50477099236641221</v>
      </c>
      <c r="F20" s="16">
        <v>0.52846299810246677</v>
      </c>
      <c r="G20" s="16">
        <v>0.57209737827715357</v>
      </c>
      <c r="H20" s="16">
        <v>0.60204081632653061</v>
      </c>
      <c r="I20" s="16">
        <v>0.62304147465437798</v>
      </c>
      <c r="J20" s="16">
        <v>0.63820018365472908</v>
      </c>
      <c r="K20" s="17">
        <v>0.65050320219579139</v>
      </c>
      <c r="L20" s="10"/>
      <c r="M20" s="10"/>
      <c r="N20" s="6"/>
      <c r="O20" s="6"/>
    </row>
    <row r="21" spans="1:15" ht="24.9" customHeight="1" x14ac:dyDescent="0.3">
      <c r="A21" s="14">
        <v>16</v>
      </c>
      <c r="B21" s="15">
        <v>0.36099999999999999</v>
      </c>
      <c r="C21" s="16">
        <v>0.42538759689922478</v>
      </c>
      <c r="D21" s="16">
        <v>0.45288461538461533</v>
      </c>
      <c r="E21" s="16">
        <v>0.47709923664122134</v>
      </c>
      <c r="F21" s="16">
        <v>0.5</v>
      </c>
      <c r="G21" s="16">
        <v>0.54400749063670406</v>
      </c>
      <c r="H21" s="16">
        <v>0.57513914656771792</v>
      </c>
      <c r="I21" s="16">
        <v>0.59631336405529956</v>
      </c>
      <c r="J21" s="16">
        <v>0.61248852157943068</v>
      </c>
      <c r="K21" s="17">
        <v>0.62488563586459289</v>
      </c>
      <c r="L21" s="10"/>
      <c r="M21" s="10"/>
      <c r="N21" s="6"/>
      <c r="O21" s="6"/>
    </row>
    <row r="22" spans="1:15" ht="17.25" customHeight="1" x14ac:dyDescent="0.3">
      <c r="A22" s="14">
        <v>17</v>
      </c>
      <c r="B22" s="15">
        <v>0.33800000000000002</v>
      </c>
      <c r="C22" s="16">
        <v>0.39728682170542634</v>
      </c>
      <c r="D22" s="16">
        <v>0.42692307692307691</v>
      </c>
      <c r="E22" s="16">
        <v>0.44942748091603046</v>
      </c>
      <c r="F22" s="16">
        <v>0.47343453510436428</v>
      </c>
      <c r="G22" s="16">
        <v>0.5168539325842697</v>
      </c>
      <c r="H22" s="16">
        <v>0.54730983302411862</v>
      </c>
      <c r="I22" s="16">
        <v>0.56958525345622124</v>
      </c>
      <c r="J22" s="16">
        <v>0.58585858585858586</v>
      </c>
      <c r="K22" s="17">
        <v>0.60018298261665148</v>
      </c>
      <c r="L22" s="10"/>
      <c r="M22" s="10"/>
      <c r="N22" s="6"/>
      <c r="O22" s="6"/>
    </row>
    <row r="23" spans="1:15" ht="17.25" customHeight="1" x14ac:dyDescent="0.3">
      <c r="A23" s="14">
        <v>18</v>
      </c>
      <c r="B23" s="15">
        <v>0.317</v>
      </c>
      <c r="C23" s="16">
        <v>0.375</v>
      </c>
      <c r="D23" s="16">
        <v>0.40096153846153842</v>
      </c>
      <c r="E23" s="16">
        <v>0.42652671755725191</v>
      </c>
      <c r="F23" s="16">
        <v>0.44686907020872862</v>
      </c>
      <c r="G23" s="16">
        <v>0.48970037453183518</v>
      </c>
      <c r="H23" s="16">
        <v>0.52226345083487935</v>
      </c>
      <c r="I23" s="16">
        <v>0.54377880184331795</v>
      </c>
      <c r="J23" s="16">
        <v>0.56106519742883376</v>
      </c>
      <c r="K23" s="17">
        <v>0.57548032936870996</v>
      </c>
      <c r="L23" s="10"/>
      <c r="M23" s="10"/>
      <c r="N23" s="6"/>
      <c r="O23" s="6"/>
    </row>
    <row r="24" spans="1:15" ht="17.25" customHeight="1" x14ac:dyDescent="0.3">
      <c r="A24" s="14">
        <v>19</v>
      </c>
      <c r="B24" s="15">
        <v>0.29699999999999999</v>
      </c>
      <c r="C24" s="16">
        <v>0.35077519379844957</v>
      </c>
      <c r="D24" s="16">
        <v>0.37692307692307692</v>
      </c>
      <c r="E24" s="16">
        <v>0.39980916030534347</v>
      </c>
      <c r="F24" s="16">
        <v>0.42314990512333966</v>
      </c>
      <c r="G24" s="16">
        <v>0.46535580524344566</v>
      </c>
      <c r="H24" s="16">
        <v>0.49628942486085342</v>
      </c>
      <c r="I24" s="16">
        <v>0.51889400921658979</v>
      </c>
      <c r="J24" s="16">
        <v>0.53719008264462809</v>
      </c>
      <c r="K24" s="17">
        <v>0.55169258920402564</v>
      </c>
      <c r="L24" s="10"/>
      <c r="M24" s="10"/>
      <c r="N24" s="6"/>
      <c r="O24" s="6"/>
    </row>
    <row r="25" spans="1:15" ht="17.25" customHeight="1" x14ac:dyDescent="0.3">
      <c r="A25" s="14">
        <v>20</v>
      </c>
      <c r="B25" s="15">
        <v>0.27800000000000002</v>
      </c>
      <c r="C25" s="16">
        <v>0.33042635658914732</v>
      </c>
      <c r="D25" s="16">
        <v>0.35480769230769227</v>
      </c>
      <c r="E25" s="16">
        <v>0.37595419847328243</v>
      </c>
      <c r="F25" s="16">
        <v>0.39658444022770395</v>
      </c>
      <c r="G25" s="16">
        <v>0.44007490636704116</v>
      </c>
      <c r="H25" s="16">
        <v>0.4721706864564007</v>
      </c>
      <c r="I25" s="16">
        <v>0.4940092165898618</v>
      </c>
      <c r="J25" s="16">
        <v>0.5123966942148761</v>
      </c>
      <c r="K25" s="17">
        <v>0.52698993595608412</v>
      </c>
      <c r="L25" s="10"/>
      <c r="M25" s="10"/>
      <c r="N25" s="6"/>
      <c r="O25" s="6"/>
    </row>
    <row r="26" spans="1:15" ht="24.9" customHeight="1" x14ac:dyDescent="0.3">
      <c r="A26" s="14">
        <v>22</v>
      </c>
      <c r="B26" s="15">
        <v>0.24399999999999999</v>
      </c>
      <c r="C26" s="16">
        <v>0.29263565891472865</v>
      </c>
      <c r="D26" s="16">
        <v>0.31442307692307692</v>
      </c>
      <c r="E26" s="16">
        <v>0.33396946564885494</v>
      </c>
      <c r="F26" s="16">
        <v>0.35483870967741932</v>
      </c>
      <c r="G26" s="16">
        <v>0.39606741573033705</v>
      </c>
      <c r="H26" s="16">
        <v>0.42764378478664195</v>
      </c>
      <c r="I26" s="16">
        <v>0.45161290322580644</v>
      </c>
      <c r="J26" s="16">
        <v>0.47015610651974293</v>
      </c>
      <c r="K26" s="17">
        <v>0.48581884720951513</v>
      </c>
      <c r="L26" s="10"/>
      <c r="M26" s="10"/>
      <c r="N26" s="6"/>
      <c r="O26" s="6"/>
    </row>
    <row r="27" spans="1:15" ht="17.25" customHeight="1" x14ac:dyDescent="0.3">
      <c r="A27" s="14">
        <v>24</v>
      </c>
      <c r="B27" s="15">
        <v>0.214</v>
      </c>
      <c r="C27" s="16">
        <v>0.25678294573643412</v>
      </c>
      <c r="D27" s="16">
        <v>0.27788461538461534</v>
      </c>
      <c r="E27" s="16">
        <v>0.29580152671755722</v>
      </c>
      <c r="F27" s="16">
        <v>0.31499051233396586</v>
      </c>
      <c r="G27" s="16">
        <v>0.35580524344569286</v>
      </c>
      <c r="H27" s="16">
        <v>0.385899814471243</v>
      </c>
      <c r="I27" s="16">
        <v>0.41013824884792627</v>
      </c>
      <c r="J27" s="16">
        <v>0.42791551882460976</v>
      </c>
      <c r="K27" s="17">
        <v>0.44464775846294602</v>
      </c>
      <c r="L27" s="10"/>
      <c r="M27" s="10"/>
      <c r="N27" s="6"/>
      <c r="O27" s="6"/>
    </row>
    <row r="28" spans="1:15" ht="17.25" customHeight="1" x14ac:dyDescent="0.3">
      <c r="A28" s="14">
        <v>26</v>
      </c>
      <c r="B28" s="15">
        <v>0.187</v>
      </c>
      <c r="C28" s="16">
        <v>0.22674418604651164</v>
      </c>
      <c r="D28" s="16">
        <v>0.24519230769230768</v>
      </c>
      <c r="E28" s="16">
        <v>0.26240458015267176</v>
      </c>
      <c r="F28" s="16">
        <v>0.28083491461100568</v>
      </c>
      <c r="G28" s="16">
        <v>0.31928838951310862</v>
      </c>
      <c r="H28" s="16">
        <v>0.349721706864564</v>
      </c>
      <c r="I28" s="16">
        <v>0.37142857142857144</v>
      </c>
      <c r="J28" s="16">
        <v>0.39026629935720847</v>
      </c>
      <c r="K28" s="17">
        <v>0.40622140896614822</v>
      </c>
      <c r="L28" s="10"/>
      <c r="M28" s="10"/>
      <c r="N28" s="6"/>
      <c r="O28" s="6"/>
    </row>
    <row r="29" spans="1:15" ht="17.25" customHeight="1" x14ac:dyDescent="0.3">
      <c r="A29" s="14">
        <v>28</v>
      </c>
      <c r="B29" s="15">
        <v>0.16400000000000001</v>
      </c>
      <c r="C29" s="16">
        <v>0.2005813953488372</v>
      </c>
      <c r="D29" s="16">
        <v>0.21730769230769231</v>
      </c>
      <c r="E29" s="16">
        <v>0.23282442748091603</v>
      </c>
      <c r="F29" s="16">
        <v>0.25142314990512332</v>
      </c>
      <c r="G29" s="16">
        <v>0.28464419475655428</v>
      </c>
      <c r="H29" s="16">
        <v>0.31539888682745826</v>
      </c>
      <c r="I29" s="16">
        <v>0.33732718894009217</v>
      </c>
      <c r="J29" s="16">
        <v>0.35720844811753905</v>
      </c>
      <c r="K29" s="17">
        <v>0.37236962488563585</v>
      </c>
      <c r="L29" s="10"/>
      <c r="M29" s="10"/>
      <c r="N29" s="6"/>
      <c r="O29" s="6"/>
    </row>
    <row r="30" spans="1:15" ht="17.25" customHeight="1" thickBot="1" x14ac:dyDescent="0.35">
      <c r="A30" s="18">
        <v>30</v>
      </c>
      <c r="B30" s="19">
        <v>0.14399999999999999</v>
      </c>
      <c r="C30" s="20">
        <v>0.17538759689922478</v>
      </c>
      <c r="D30" s="20">
        <v>0.19230769230769232</v>
      </c>
      <c r="E30" s="20">
        <v>0.20706106870229007</v>
      </c>
      <c r="F30" s="20">
        <v>0.22106261859582543</v>
      </c>
      <c r="G30" s="20">
        <v>0.2556179775280899</v>
      </c>
      <c r="H30" s="20">
        <v>0.28293135435992578</v>
      </c>
      <c r="I30" s="20">
        <v>0.3059907834101383</v>
      </c>
      <c r="J30" s="20">
        <v>0.32415059687786962</v>
      </c>
      <c r="K30" s="21">
        <v>0.34034766697163771</v>
      </c>
      <c r="L30" s="10"/>
      <c r="M30" s="10"/>
      <c r="N30" s="6"/>
      <c r="O30" s="6"/>
    </row>
    <row r="31" spans="1:15" ht="12.9" thickTop="1" x14ac:dyDescent="0.3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6"/>
      <c r="O31" s="6"/>
    </row>
    <row r="32" spans="1:15" x14ac:dyDescent="0.3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6"/>
      <c r="O32" s="6"/>
    </row>
    <row r="33" spans="1:15" x14ac:dyDescent="0.3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6"/>
      <c r="O33" s="6"/>
    </row>
    <row r="34" spans="1:15" x14ac:dyDescent="0.3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6"/>
      <c r="O34" s="6"/>
    </row>
    <row r="35" spans="1:15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6"/>
      <c r="O35" s="6"/>
    </row>
    <row r="36" spans="1:15" x14ac:dyDescent="0.3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6"/>
      <c r="O36" s="6"/>
    </row>
    <row r="37" spans="1:15" x14ac:dyDescent="0.3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6"/>
      <c r="O37" s="6"/>
    </row>
    <row r="38" spans="1:15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6"/>
      <c r="O38" s="6"/>
    </row>
    <row r="39" spans="1:15" x14ac:dyDescent="0.3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6"/>
      <c r="O39" s="6"/>
    </row>
    <row r="40" spans="1:15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6"/>
      <c r="O40" s="6"/>
    </row>
    <row r="41" spans="1:15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6"/>
      <c r="O41" s="6"/>
    </row>
    <row r="42" spans="1:15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6"/>
      <c r="O42" s="6"/>
    </row>
    <row r="43" spans="1:15" x14ac:dyDescent="0.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6"/>
      <c r="O43" s="6"/>
    </row>
    <row r="44" spans="1:15" x14ac:dyDescent="0.3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6"/>
      <c r="O44" s="6"/>
    </row>
    <row r="45" spans="1:15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</row>
    <row r="46" spans="1:15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</row>
    <row r="47" spans="1:15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</row>
    <row r="48" spans="1:15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</row>
    <row r="49" spans="1:15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</row>
    <row r="50" spans="1:15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</row>
  </sheetData>
  <mergeCells count="4">
    <mergeCell ref="A1:K1"/>
    <mergeCell ref="A2:K2"/>
    <mergeCell ref="M12:O12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Z35"/>
  <sheetViews>
    <sheetView showGridLines="0" workbookViewId="0">
      <selection activeCell="O20" sqref="O20"/>
    </sheetView>
  </sheetViews>
  <sheetFormatPr defaultRowHeight="12.45" x14ac:dyDescent="0.3"/>
  <cols>
    <col min="1" max="1" width="12.69140625" customWidth="1"/>
    <col min="2" max="2" width="3.69140625" customWidth="1"/>
    <col min="3" max="3" width="5.69140625" customWidth="1"/>
    <col min="4" max="12" width="7.3046875" customWidth="1"/>
    <col min="13" max="16" width="9.07421875" style="6" customWidth="1"/>
    <col min="17" max="26" width="0" style="6" hidden="1" customWidth="1"/>
  </cols>
  <sheetData>
    <row r="1" spans="1:26" s="223" customFormat="1" ht="30" customHeight="1" x14ac:dyDescent="0.45">
      <c r="A1" s="622" t="s">
        <v>40</v>
      </c>
      <c r="B1" s="623"/>
      <c r="C1" s="623"/>
      <c r="D1" s="623"/>
      <c r="E1" s="623"/>
      <c r="F1" s="623"/>
      <c r="G1" s="623"/>
      <c r="H1" s="623"/>
      <c r="I1" s="623"/>
      <c r="J1" s="623"/>
      <c r="K1" s="623"/>
      <c r="L1" s="623"/>
      <c r="M1" s="220"/>
      <c r="N1" s="234"/>
      <c r="O1" s="234"/>
      <c r="P1" s="235" t="s">
        <v>0</v>
      </c>
      <c r="Q1" s="220"/>
      <c r="R1" s="220"/>
      <c r="S1" s="220"/>
      <c r="T1" s="220"/>
      <c r="U1" s="220"/>
      <c r="V1" s="220"/>
      <c r="W1" s="220"/>
      <c r="X1" s="220"/>
      <c r="Y1" s="220"/>
      <c r="Z1" s="220"/>
    </row>
    <row r="2" spans="1:26" ht="24" customHeight="1" thickBot="1" x14ac:dyDescent="0.45">
      <c r="A2" s="624" t="s">
        <v>6</v>
      </c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625"/>
      <c r="M2" s="628" t="s">
        <v>27</v>
      </c>
      <c r="N2" s="629"/>
      <c r="O2" s="629"/>
      <c r="Z2" s="10"/>
    </row>
    <row r="3" spans="1:26" ht="17.25" customHeight="1" thickBot="1" x14ac:dyDescent="0.35">
      <c r="C3" s="626"/>
      <c r="D3" s="627"/>
      <c r="E3" s="627"/>
      <c r="F3" s="627"/>
      <c r="G3" s="627"/>
      <c r="H3" s="627"/>
      <c r="I3" s="627"/>
      <c r="J3" s="627"/>
      <c r="K3" s="6"/>
      <c r="L3" s="6"/>
      <c r="N3" s="459" t="s">
        <v>18</v>
      </c>
      <c r="O3" s="141"/>
      <c r="Q3" s="206"/>
      <c r="R3" s="123">
        <v>4</v>
      </c>
      <c r="S3" s="123">
        <v>6</v>
      </c>
      <c r="T3" s="123">
        <v>8</v>
      </c>
      <c r="U3" s="123">
        <v>10</v>
      </c>
      <c r="V3" s="123">
        <v>15</v>
      </c>
      <c r="W3" s="123">
        <v>20</v>
      </c>
      <c r="X3" s="123">
        <v>25</v>
      </c>
      <c r="Y3" s="123">
        <v>30</v>
      </c>
      <c r="Z3" s="123">
        <v>35</v>
      </c>
    </row>
    <row r="4" spans="1:26" ht="39.9" customHeight="1" thickTop="1" thickBot="1" x14ac:dyDescent="0.35">
      <c r="A4" s="631" t="s">
        <v>8</v>
      </c>
      <c r="B4" s="632"/>
      <c r="C4" s="633"/>
      <c r="D4" s="261" t="s">
        <v>56</v>
      </c>
      <c r="E4" s="257" t="s">
        <v>57</v>
      </c>
      <c r="F4" s="257" t="s">
        <v>58</v>
      </c>
      <c r="G4" s="257" t="s">
        <v>59</v>
      </c>
      <c r="H4" s="257" t="s">
        <v>60</v>
      </c>
      <c r="I4" s="257" t="s">
        <v>61</v>
      </c>
      <c r="J4" s="257" t="s">
        <v>62</v>
      </c>
      <c r="K4" s="257" t="s">
        <v>63</v>
      </c>
      <c r="L4" s="262" t="s">
        <v>64</v>
      </c>
      <c r="M4" s="208" t="s">
        <v>42</v>
      </c>
      <c r="N4" s="464">
        <v>10</v>
      </c>
      <c r="O4" s="141"/>
      <c r="Q4" s="6" t="s">
        <v>0</v>
      </c>
      <c r="R4" s="207">
        <f t="shared" ref="R4:Z4" si="0">D5</f>
        <v>1.032</v>
      </c>
      <c r="S4" s="207">
        <f t="shared" si="0"/>
        <v>1.04</v>
      </c>
      <c r="T4" s="207">
        <f t="shared" si="0"/>
        <v>1.048</v>
      </c>
      <c r="U4" s="207">
        <f t="shared" si="0"/>
        <v>1.054</v>
      </c>
      <c r="V4" s="207">
        <f t="shared" si="0"/>
        <v>1.0680000000000001</v>
      </c>
      <c r="W4" s="207">
        <f t="shared" si="0"/>
        <v>1.0780000000000001</v>
      </c>
      <c r="X4" s="207">
        <f t="shared" si="0"/>
        <v>1.085</v>
      </c>
      <c r="Y4" s="207">
        <f t="shared" si="0"/>
        <v>1.089</v>
      </c>
      <c r="Z4" s="207">
        <f t="shared" si="0"/>
        <v>1.093</v>
      </c>
    </row>
    <row r="5" spans="1:26" ht="39.9" customHeight="1" thickTop="1" x14ac:dyDescent="0.3">
      <c r="A5" s="634" t="s">
        <v>0</v>
      </c>
      <c r="B5" s="635"/>
      <c r="C5" s="636"/>
      <c r="D5" s="51">
        <v>1.032</v>
      </c>
      <c r="E5" s="49">
        <v>1.04</v>
      </c>
      <c r="F5" s="49">
        <v>1.048</v>
      </c>
      <c r="G5" s="49">
        <v>1.054</v>
      </c>
      <c r="H5" s="49">
        <v>1.0680000000000001</v>
      </c>
      <c r="I5" s="49">
        <v>1.0780000000000001</v>
      </c>
      <c r="J5" s="49">
        <v>1.085</v>
      </c>
      <c r="K5" s="49">
        <v>1.089</v>
      </c>
      <c r="L5" s="50">
        <v>1.093</v>
      </c>
      <c r="M5" s="119" t="s">
        <v>26</v>
      </c>
      <c r="N5" s="460">
        <f>Interpolate1DRowTable($N$4,$R3:$Z4)</f>
        <v>1.054</v>
      </c>
      <c r="O5" s="140"/>
      <c r="Q5" s="24"/>
      <c r="R5" s="123">
        <v>4</v>
      </c>
      <c r="S5" s="123">
        <v>6</v>
      </c>
      <c r="T5" s="123">
        <v>8</v>
      </c>
      <c r="U5" s="123">
        <v>10</v>
      </c>
      <c r="V5" s="123">
        <v>15</v>
      </c>
      <c r="W5" s="123">
        <v>20</v>
      </c>
      <c r="X5" s="123">
        <v>25</v>
      </c>
      <c r="Y5" s="123">
        <v>30</v>
      </c>
      <c r="Z5" s="123">
        <v>35</v>
      </c>
    </row>
    <row r="6" spans="1:26" ht="39.9" customHeight="1" x14ac:dyDescent="0.3">
      <c r="A6" s="637" t="s">
        <v>55</v>
      </c>
      <c r="B6" s="638"/>
      <c r="C6" s="639"/>
      <c r="D6" s="43">
        <v>0.94574031007751957</v>
      </c>
      <c r="E6" s="42">
        <v>0.96380192307692303</v>
      </c>
      <c r="F6" s="42">
        <v>0.98460496183206103</v>
      </c>
      <c r="G6" s="42">
        <v>1</v>
      </c>
      <c r="H6" s="42">
        <v>1.0401835205992511</v>
      </c>
      <c r="I6" s="42">
        <v>1.047155844155844</v>
      </c>
      <c r="J6" s="42">
        <v>1.0481714285714285</v>
      </c>
      <c r="K6" s="42">
        <v>1.0549678604224062</v>
      </c>
      <c r="L6" s="46">
        <v>1.054964318389753</v>
      </c>
      <c r="M6" s="120" t="s">
        <v>26</v>
      </c>
      <c r="N6" s="461">
        <f>Interpolate1DRowTable($N$4,$R5:$Z6)</f>
        <v>1</v>
      </c>
      <c r="O6" s="140"/>
      <c r="Q6" s="24" t="s">
        <v>15</v>
      </c>
      <c r="R6" s="121">
        <f t="shared" ref="R6:Z6" si="1">D6</f>
        <v>0.94574031007751957</v>
      </c>
      <c r="S6" s="121">
        <f t="shared" si="1"/>
        <v>0.96380192307692303</v>
      </c>
      <c r="T6" s="121">
        <f t="shared" si="1"/>
        <v>0.98460496183206103</v>
      </c>
      <c r="U6" s="121">
        <f t="shared" si="1"/>
        <v>1</v>
      </c>
      <c r="V6" s="121">
        <f t="shared" si="1"/>
        <v>1.0401835205992511</v>
      </c>
      <c r="W6" s="121">
        <f t="shared" si="1"/>
        <v>1.047155844155844</v>
      </c>
      <c r="X6" s="121">
        <f t="shared" si="1"/>
        <v>1.0481714285714285</v>
      </c>
      <c r="Y6" s="121">
        <f t="shared" si="1"/>
        <v>1.0549678604224062</v>
      </c>
      <c r="Z6" s="121">
        <f t="shared" si="1"/>
        <v>1.054964318389753</v>
      </c>
    </row>
    <row r="7" spans="1:26" ht="39.9" customHeight="1" thickBot="1" x14ac:dyDescent="0.35">
      <c r="A7" s="640" t="s">
        <v>41</v>
      </c>
      <c r="B7" s="641"/>
      <c r="C7" s="642"/>
      <c r="D7" s="52">
        <v>0.92600000000000005</v>
      </c>
      <c r="E7" s="47">
        <v>0.95099999999999996</v>
      </c>
      <c r="F7" s="47">
        <v>0.97899999999999998</v>
      </c>
      <c r="G7" s="47">
        <v>1</v>
      </c>
      <c r="H7" s="47">
        <v>1.054</v>
      </c>
      <c r="I7" s="47">
        <v>1.071</v>
      </c>
      <c r="J7" s="47">
        <v>1.079</v>
      </c>
      <c r="K7" s="47">
        <v>1.0900000000000001</v>
      </c>
      <c r="L7" s="48">
        <v>1.0940000000000001</v>
      </c>
      <c r="M7" s="120" t="s">
        <v>26</v>
      </c>
      <c r="N7" s="462">
        <f>Interpolate1DRowTable($N$4,R7:Z8)</f>
        <v>1</v>
      </c>
      <c r="O7" s="140"/>
      <c r="Q7" s="10"/>
      <c r="R7" s="123">
        <v>4</v>
      </c>
      <c r="S7" s="123">
        <v>6</v>
      </c>
      <c r="T7" s="123">
        <v>8</v>
      </c>
      <c r="U7" s="123">
        <v>10</v>
      </c>
      <c r="V7" s="123">
        <v>15</v>
      </c>
      <c r="W7" s="123">
        <v>20</v>
      </c>
      <c r="X7" s="123">
        <v>25</v>
      </c>
      <c r="Y7" s="123">
        <v>30</v>
      </c>
      <c r="Z7" s="123">
        <v>35</v>
      </c>
    </row>
    <row r="8" spans="1:26" ht="17.25" customHeight="1" thickTop="1" x14ac:dyDescent="0.35">
      <c r="C8" s="33"/>
      <c r="D8" s="41"/>
      <c r="E8" s="41"/>
      <c r="F8" s="41"/>
      <c r="G8" s="41"/>
      <c r="H8" s="41"/>
      <c r="I8" s="41"/>
      <c r="J8" s="41"/>
      <c r="K8" s="35"/>
      <c r="L8" s="25"/>
      <c r="M8" s="8"/>
      <c r="N8" s="140"/>
      <c r="O8" s="140"/>
      <c r="Q8" s="24" t="s">
        <v>17</v>
      </c>
      <c r="R8" s="207">
        <f t="shared" ref="R8:Z8" si="2">D7</f>
        <v>0.92600000000000005</v>
      </c>
      <c r="S8" s="207">
        <f t="shared" si="2"/>
        <v>0.95099999999999996</v>
      </c>
      <c r="T8" s="207">
        <f t="shared" si="2"/>
        <v>0.97899999999999998</v>
      </c>
      <c r="U8" s="207">
        <f t="shared" si="2"/>
        <v>1</v>
      </c>
      <c r="V8" s="207">
        <f t="shared" si="2"/>
        <v>1.054</v>
      </c>
      <c r="W8" s="207">
        <f t="shared" si="2"/>
        <v>1.071</v>
      </c>
      <c r="X8" s="207">
        <f t="shared" si="2"/>
        <v>1.079</v>
      </c>
      <c r="Y8" s="207">
        <f t="shared" si="2"/>
        <v>1.0900000000000001</v>
      </c>
      <c r="Z8" s="207">
        <f t="shared" si="2"/>
        <v>1.0940000000000001</v>
      </c>
    </row>
    <row r="9" spans="1:26" ht="17.25" customHeight="1" x14ac:dyDescent="0.3">
      <c r="C9" s="33"/>
      <c r="D9" s="41"/>
      <c r="E9" s="41"/>
      <c r="F9" s="41"/>
      <c r="G9" s="630"/>
      <c r="H9" s="626"/>
      <c r="I9" s="626"/>
      <c r="J9" s="626"/>
      <c r="K9" s="626"/>
      <c r="L9" s="626"/>
      <c r="M9" s="8"/>
    </row>
    <row r="10" spans="1:26" ht="20.149999999999999" customHeight="1" x14ac:dyDescent="0.3">
      <c r="A10" s="6"/>
      <c r="B10" s="6"/>
      <c r="C10" s="40"/>
      <c r="D10" s="44"/>
      <c r="E10" s="44"/>
      <c r="F10" s="44"/>
      <c r="G10" s="44"/>
      <c r="H10" s="44"/>
      <c r="I10" s="44"/>
      <c r="J10" s="44"/>
      <c r="K10" s="35"/>
      <c r="L10" s="45"/>
      <c r="M10" s="8"/>
    </row>
    <row r="11" spans="1:26" ht="20.149999999999999" customHeight="1" thickBot="1" x14ac:dyDescent="0.35">
      <c r="B11" s="7"/>
      <c r="C11" s="643" t="s">
        <v>115</v>
      </c>
      <c r="D11" s="643"/>
      <c r="E11" s="643"/>
      <c r="F11" s="643"/>
      <c r="G11" s="643"/>
      <c r="H11" s="643"/>
      <c r="I11" s="643"/>
      <c r="J11" s="643"/>
      <c r="K11" s="643"/>
      <c r="L11" s="643"/>
      <c r="M11" s="8"/>
    </row>
    <row r="12" spans="1:26" ht="20.149999999999999" customHeight="1" thickBot="1" x14ac:dyDescent="0.35">
      <c r="A12" s="626" t="s">
        <v>10</v>
      </c>
      <c r="B12" s="626"/>
      <c r="C12" s="86" t="s">
        <v>11</v>
      </c>
      <c r="D12" s="87">
        <v>4</v>
      </c>
      <c r="E12" s="88">
        <v>6</v>
      </c>
      <c r="F12" s="88">
        <v>8</v>
      </c>
      <c r="G12" s="88">
        <v>10</v>
      </c>
      <c r="H12" s="88">
        <v>15</v>
      </c>
      <c r="I12" s="88">
        <v>20</v>
      </c>
      <c r="J12" s="88">
        <v>25</v>
      </c>
      <c r="K12" s="88">
        <v>30</v>
      </c>
      <c r="L12" s="89">
        <v>35</v>
      </c>
      <c r="M12" s="8"/>
      <c r="N12" s="644" t="s">
        <v>18</v>
      </c>
      <c r="O12" s="645"/>
      <c r="P12" s="646"/>
    </row>
    <row r="13" spans="1:26" ht="20.149999999999999" customHeight="1" thickBot="1" x14ac:dyDescent="0.35">
      <c r="A13" s="7"/>
      <c r="B13" s="90" t="s">
        <v>9</v>
      </c>
      <c r="C13" s="91">
        <v>4</v>
      </c>
      <c r="D13" s="142">
        <v>0.92600000000000005</v>
      </c>
      <c r="E13" s="81">
        <v>0.93700000000000006</v>
      </c>
      <c r="F13" s="81">
        <v>0.95</v>
      </c>
      <c r="G13" s="81">
        <v>0.96199999999999997</v>
      </c>
      <c r="H13" s="81">
        <v>0.97</v>
      </c>
      <c r="I13" s="81">
        <v>0.97199999999999998</v>
      </c>
      <c r="J13" s="81">
        <v>0.97299999999999998</v>
      </c>
      <c r="K13" s="81">
        <v>0.97399999999999998</v>
      </c>
      <c r="L13" s="82">
        <v>0.97399999999999998</v>
      </c>
      <c r="M13" s="8"/>
      <c r="N13" s="139" t="s">
        <v>16</v>
      </c>
      <c r="O13" s="467" t="s">
        <v>25</v>
      </c>
      <c r="P13" s="245" t="s">
        <v>41</v>
      </c>
    </row>
    <row r="14" spans="1:26" ht="20.149999999999999" customHeight="1" thickBot="1" x14ac:dyDescent="0.35">
      <c r="A14" s="6"/>
      <c r="B14" s="92"/>
      <c r="C14" s="93">
        <v>6</v>
      </c>
      <c r="D14" s="83">
        <v>0.93799999999999994</v>
      </c>
      <c r="E14" s="143">
        <v>0.95099999999999996</v>
      </c>
      <c r="F14" s="53">
        <v>0.96508159094472468</v>
      </c>
      <c r="G14" s="53">
        <v>0.97574985367528488</v>
      </c>
      <c r="H14" s="53">
        <v>0.99029891625682909</v>
      </c>
      <c r="I14" s="53">
        <v>0.99592712758767199</v>
      </c>
      <c r="J14" s="53">
        <v>0.99799380694269335</v>
      </c>
      <c r="K14" s="53">
        <v>0.99856198071062552</v>
      </c>
      <c r="L14" s="54">
        <v>1.0002494207166635</v>
      </c>
      <c r="M14" s="8"/>
      <c r="N14" s="465">
        <v>10</v>
      </c>
      <c r="O14" s="466">
        <v>10</v>
      </c>
      <c r="P14" s="243">
        <f>Interpolate2DTable($N$14,$O$14,$C$12:$L$21)</f>
        <v>1</v>
      </c>
    </row>
    <row r="15" spans="1:26" ht="20.149999999999999" customHeight="1" x14ac:dyDescent="0.3">
      <c r="A15" s="6"/>
      <c r="B15" s="92"/>
      <c r="C15" s="93">
        <v>8</v>
      </c>
      <c r="D15" s="83">
        <v>0.95</v>
      </c>
      <c r="E15" s="53">
        <v>0.96405100362960539</v>
      </c>
      <c r="F15" s="143">
        <v>0.97899999999999998</v>
      </c>
      <c r="G15" s="53">
        <v>0.98937365234888441</v>
      </c>
      <c r="H15" s="53">
        <v>1.0048646634724321</v>
      </c>
      <c r="I15" s="53">
        <v>1.0156325468367906</v>
      </c>
      <c r="J15" s="53">
        <v>1.0209604664680363</v>
      </c>
      <c r="K15" s="53">
        <v>1.023755028484358</v>
      </c>
      <c r="L15" s="54">
        <v>1.0252625585661648</v>
      </c>
      <c r="M15" s="8"/>
    </row>
    <row r="16" spans="1:26" ht="20.149999999999999" customHeight="1" x14ac:dyDescent="0.3">
      <c r="A16" s="6"/>
      <c r="B16" s="92"/>
      <c r="C16" s="93">
        <v>10</v>
      </c>
      <c r="D16" s="83">
        <v>0.96</v>
      </c>
      <c r="E16" s="53">
        <v>0.97554007903346895</v>
      </c>
      <c r="F16" s="53">
        <v>0.99033309819176529</v>
      </c>
      <c r="G16" s="143">
        <v>1</v>
      </c>
      <c r="H16" s="53">
        <v>1.0249001968007012</v>
      </c>
      <c r="I16" s="53">
        <v>1.035609641303848</v>
      </c>
      <c r="J16" s="53">
        <v>1.0403463935503436</v>
      </c>
      <c r="K16" s="53">
        <v>1.0425354462653482</v>
      </c>
      <c r="L16" s="54">
        <v>1.0433350087848361</v>
      </c>
      <c r="M16" s="8"/>
    </row>
    <row r="17" spans="1:13" ht="20.149999999999999" customHeight="1" x14ac:dyDescent="0.3">
      <c r="A17" s="6"/>
      <c r="B17" s="92"/>
      <c r="C17" s="93">
        <v>15</v>
      </c>
      <c r="D17" s="83">
        <v>0.97399999999999998</v>
      </c>
      <c r="E17" s="53">
        <v>0.99342509910059418</v>
      </c>
      <c r="F17" s="53">
        <v>1.0087377226975784</v>
      </c>
      <c r="G17" s="53">
        <v>1.0278956627079601</v>
      </c>
      <c r="H17" s="143">
        <v>1.054</v>
      </c>
      <c r="I17" s="53">
        <v>1.0628996109562412</v>
      </c>
      <c r="J17" s="53">
        <v>1.0651920995832957</v>
      </c>
      <c r="K17" s="53">
        <v>1.0645848247014045</v>
      </c>
      <c r="L17" s="54">
        <v>1.0653434292911588</v>
      </c>
      <c r="M17" s="8"/>
    </row>
    <row r="18" spans="1:13" ht="20.149999999999999" customHeight="1" x14ac:dyDescent="0.3">
      <c r="A18" s="6"/>
      <c r="B18" s="92"/>
      <c r="C18" s="93">
        <v>20</v>
      </c>
      <c r="D18" s="83">
        <v>0.97799999999999998</v>
      </c>
      <c r="E18" s="53">
        <v>1.0013076124348521</v>
      </c>
      <c r="F18" s="53">
        <v>1.0209026435540185</v>
      </c>
      <c r="G18" s="53">
        <v>1.0399655294518952</v>
      </c>
      <c r="H18" s="53">
        <v>1.0646082595190258</v>
      </c>
      <c r="I18" s="143">
        <v>1.071</v>
      </c>
      <c r="J18" s="53">
        <v>1.0753445198188596</v>
      </c>
      <c r="K18" s="53">
        <v>1.0757490828307494</v>
      </c>
      <c r="L18" s="54">
        <v>1.0760835472816606</v>
      </c>
      <c r="M18" s="8"/>
    </row>
    <row r="19" spans="1:13" ht="20.149999999999999" customHeight="1" x14ac:dyDescent="0.3">
      <c r="A19" s="6"/>
      <c r="B19" s="92"/>
      <c r="C19" s="93">
        <v>25</v>
      </c>
      <c r="D19" s="83">
        <v>0.97899999999999998</v>
      </c>
      <c r="E19" s="53">
        <v>1.0046206205715253</v>
      </c>
      <c r="F19" s="53">
        <v>1.0266512897811526</v>
      </c>
      <c r="G19" s="53">
        <v>1.0450285436780684</v>
      </c>
      <c r="H19" s="53">
        <v>1.0676418534902281</v>
      </c>
      <c r="I19" s="53">
        <v>1.0762977605377462</v>
      </c>
      <c r="J19" s="143">
        <v>1.079</v>
      </c>
      <c r="K19" s="53">
        <v>1.0843102162241114</v>
      </c>
      <c r="L19" s="54">
        <v>1.0870526619327605</v>
      </c>
      <c r="M19" s="8"/>
    </row>
    <row r="20" spans="1:13" ht="20.149999999999999" customHeight="1" x14ac:dyDescent="0.3">
      <c r="A20" s="6"/>
      <c r="B20" s="92"/>
      <c r="C20" s="93">
        <v>30</v>
      </c>
      <c r="D20" s="83">
        <v>0.98</v>
      </c>
      <c r="E20" s="53">
        <v>1.0058743844756286</v>
      </c>
      <c r="F20" s="53">
        <v>1.0294423293582051</v>
      </c>
      <c r="G20" s="53">
        <v>1.0471132341184215</v>
      </c>
      <c r="H20" s="53">
        <v>1.0673073848354153</v>
      </c>
      <c r="I20" s="53">
        <v>1.077239716274464</v>
      </c>
      <c r="J20" s="53">
        <v>1.0849342347663278</v>
      </c>
      <c r="K20" s="143">
        <v>1.0900000000000001</v>
      </c>
      <c r="L20" s="54">
        <v>1.0920316762018347</v>
      </c>
      <c r="M20" s="8"/>
    </row>
    <row r="21" spans="1:13" ht="20.149999999999999" customHeight="1" thickBot="1" x14ac:dyDescent="0.35">
      <c r="A21" s="6"/>
      <c r="B21" s="94"/>
      <c r="C21" s="95">
        <v>35</v>
      </c>
      <c r="D21" s="84">
        <v>0.98</v>
      </c>
      <c r="E21" s="55">
        <v>1.0079619160512712</v>
      </c>
      <c r="F21" s="55">
        <v>1.0307804571576844</v>
      </c>
      <c r="G21" s="55">
        <v>1.0476528502774942</v>
      </c>
      <c r="H21" s="55">
        <v>1.0681328692078407</v>
      </c>
      <c r="I21" s="55">
        <v>1.077889606869209</v>
      </c>
      <c r="J21" s="55">
        <v>1.0881021837004716</v>
      </c>
      <c r="K21" s="55">
        <v>1.0924898817875073</v>
      </c>
      <c r="L21" s="144">
        <v>1.0940000000000001</v>
      </c>
      <c r="M21" s="8"/>
    </row>
    <row r="22" spans="1:13" ht="20.149999999999999" customHeight="1" x14ac:dyDescent="0.3">
      <c r="A22" s="6"/>
      <c r="B22" s="6"/>
      <c r="C22" s="7"/>
      <c r="D22" s="10"/>
      <c r="E22" s="10"/>
      <c r="F22" s="10"/>
      <c r="G22" s="10"/>
      <c r="H22" s="10"/>
      <c r="I22" s="10"/>
      <c r="J22" s="10"/>
      <c r="K22" s="10"/>
      <c r="L22" s="6"/>
    </row>
    <row r="23" spans="1:13" ht="20.149999999999999" customHeight="1" x14ac:dyDescent="0.3">
      <c r="A23" s="6"/>
      <c r="B23" s="6"/>
      <c r="C23" s="10"/>
      <c r="D23" s="10"/>
      <c r="E23" s="10"/>
      <c r="F23" s="10"/>
      <c r="G23" s="10"/>
      <c r="H23" s="10"/>
      <c r="I23" s="10"/>
      <c r="J23" s="10"/>
      <c r="K23" s="10"/>
      <c r="L23" s="6"/>
    </row>
    <row r="24" spans="1:13" ht="20.149999999999999" customHeight="1" x14ac:dyDescent="0.3">
      <c r="A24" s="6"/>
      <c r="B24" s="6"/>
      <c r="C24" s="10"/>
      <c r="D24" s="10"/>
      <c r="E24" s="10"/>
      <c r="F24" s="10"/>
      <c r="G24" s="10"/>
      <c r="H24" s="10"/>
      <c r="I24" s="10"/>
      <c r="J24" s="10"/>
      <c r="K24" s="10"/>
      <c r="L24" s="6"/>
    </row>
    <row r="25" spans="1:13" ht="20.149999999999999" customHeight="1" x14ac:dyDescent="0.3">
      <c r="A25" s="6"/>
      <c r="B25" s="6"/>
      <c r="C25" s="10"/>
      <c r="D25" s="10"/>
      <c r="E25" s="10"/>
      <c r="F25" s="10"/>
      <c r="G25" s="10"/>
      <c r="H25" s="10"/>
      <c r="I25" s="10"/>
      <c r="J25" s="10"/>
      <c r="K25" s="10"/>
      <c r="L25" s="6"/>
    </row>
    <row r="26" spans="1:13" x14ac:dyDescent="0.3">
      <c r="C26" s="10"/>
      <c r="D26" s="10"/>
      <c r="E26" s="10"/>
      <c r="F26" s="10"/>
      <c r="G26" s="10"/>
      <c r="H26" s="10"/>
      <c r="I26" s="10"/>
      <c r="J26" s="10"/>
      <c r="K26" s="10"/>
    </row>
    <row r="27" spans="1:13" x14ac:dyDescent="0.3">
      <c r="C27" s="10"/>
      <c r="D27" s="10"/>
      <c r="E27" s="10"/>
      <c r="F27" s="10"/>
      <c r="G27" s="10"/>
      <c r="H27" s="10"/>
      <c r="I27" s="10"/>
      <c r="J27" s="10"/>
      <c r="K27" s="10"/>
    </row>
    <row r="28" spans="1:13" x14ac:dyDescent="0.3">
      <c r="C28" s="10"/>
      <c r="D28" s="10"/>
      <c r="E28" s="10"/>
      <c r="F28" s="10"/>
      <c r="G28" s="10"/>
      <c r="H28" s="10"/>
      <c r="I28" s="10"/>
      <c r="J28" s="10"/>
      <c r="K28" s="10"/>
    </row>
    <row r="29" spans="1:13" x14ac:dyDescent="0.3">
      <c r="C29" s="10"/>
      <c r="D29" s="10"/>
      <c r="E29" s="10"/>
      <c r="F29" s="10"/>
      <c r="G29" s="10"/>
      <c r="H29" s="10"/>
      <c r="I29" s="10"/>
      <c r="J29" s="10"/>
      <c r="K29" s="10"/>
    </row>
    <row r="30" spans="1:13" x14ac:dyDescent="0.3">
      <c r="C30" s="10"/>
      <c r="D30" s="10"/>
      <c r="E30" s="10"/>
      <c r="F30" s="10"/>
      <c r="G30" s="10"/>
      <c r="H30" s="10"/>
      <c r="I30" s="10"/>
      <c r="J30" s="10"/>
      <c r="K30" s="10"/>
    </row>
    <row r="31" spans="1:13" x14ac:dyDescent="0.3">
      <c r="C31" s="6"/>
      <c r="D31" s="6"/>
      <c r="E31" s="6"/>
      <c r="F31" s="6"/>
      <c r="G31" s="6"/>
      <c r="H31" s="6"/>
      <c r="I31" s="6"/>
      <c r="J31" s="6"/>
      <c r="K31" s="6"/>
    </row>
    <row r="32" spans="1:13" x14ac:dyDescent="0.3">
      <c r="C32" s="6"/>
      <c r="D32" s="6"/>
      <c r="E32" s="6"/>
      <c r="F32" s="6"/>
      <c r="G32" s="6"/>
      <c r="H32" s="6"/>
      <c r="I32" s="6"/>
      <c r="J32" s="6"/>
      <c r="K32" s="6"/>
    </row>
    <row r="33" spans="3:11" x14ac:dyDescent="0.3">
      <c r="C33" s="6"/>
      <c r="D33" s="6"/>
      <c r="E33" s="6"/>
      <c r="F33" s="6"/>
      <c r="G33" s="6"/>
      <c r="H33" s="6"/>
      <c r="I33" s="6"/>
      <c r="J33" s="6"/>
      <c r="K33" s="6"/>
    </row>
    <row r="34" spans="3:11" x14ac:dyDescent="0.3">
      <c r="C34" s="6"/>
      <c r="D34" s="6"/>
      <c r="E34" s="6"/>
      <c r="F34" s="6"/>
      <c r="G34" s="6"/>
      <c r="H34" s="6"/>
      <c r="I34" s="6"/>
      <c r="J34" s="6"/>
      <c r="K34" s="6"/>
    </row>
    <row r="35" spans="3:11" x14ac:dyDescent="0.3">
      <c r="C35" s="6"/>
      <c r="D35" s="6"/>
      <c r="E35" s="6"/>
      <c r="F35" s="6"/>
      <c r="G35" s="6"/>
      <c r="H35" s="6"/>
      <c r="I35" s="6"/>
      <c r="J35" s="6"/>
      <c r="K35" s="6"/>
    </row>
  </sheetData>
  <mergeCells count="12">
    <mergeCell ref="A1:L1"/>
    <mergeCell ref="A2:L2"/>
    <mergeCell ref="C3:J3"/>
    <mergeCell ref="M2:O2"/>
    <mergeCell ref="A12:B12"/>
    <mergeCell ref="G9:L9"/>
    <mergeCell ref="A4:C4"/>
    <mergeCell ref="A5:C5"/>
    <mergeCell ref="A6:C6"/>
    <mergeCell ref="A7:C7"/>
    <mergeCell ref="C11:L11"/>
    <mergeCell ref="N12:P12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O35"/>
  <sheetViews>
    <sheetView showGridLines="0" workbookViewId="0">
      <selection activeCell="A2" sqref="A2:K2"/>
    </sheetView>
  </sheetViews>
  <sheetFormatPr defaultRowHeight="12.45" x14ac:dyDescent="0.3"/>
  <cols>
    <col min="1" max="1" width="9.84375" customWidth="1"/>
    <col min="2" max="12" width="7.69140625" customWidth="1"/>
  </cols>
  <sheetData>
    <row r="1" spans="1:15" s="223" customFormat="1" ht="30" customHeight="1" x14ac:dyDescent="0.4">
      <c r="A1" s="523" t="s">
        <v>12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233"/>
    </row>
    <row r="2" spans="1:15" ht="24" customHeight="1" thickBot="1" x14ac:dyDescent="0.4">
      <c r="A2" s="612" t="s">
        <v>128</v>
      </c>
      <c r="B2" s="613"/>
      <c r="C2" s="613"/>
      <c r="D2" s="613"/>
      <c r="E2" s="613"/>
      <c r="F2" s="613"/>
      <c r="G2" s="613"/>
      <c r="H2" s="613"/>
      <c r="I2" s="613"/>
      <c r="J2" s="613"/>
      <c r="K2" s="613"/>
      <c r="L2" s="211"/>
      <c r="M2" s="213"/>
      <c r="N2" s="213"/>
      <c r="O2" s="213"/>
    </row>
    <row r="3" spans="1:15" ht="21.9" customHeight="1" thickTop="1" thickBot="1" x14ac:dyDescent="0.35">
      <c r="A3" s="58" t="s">
        <v>43</v>
      </c>
      <c r="B3" s="101">
        <v>4</v>
      </c>
      <c r="C3" s="102">
        <v>6</v>
      </c>
      <c r="D3" s="102">
        <v>8</v>
      </c>
      <c r="E3" s="102">
        <v>10</v>
      </c>
      <c r="F3" s="102">
        <v>15</v>
      </c>
      <c r="G3" s="102">
        <v>20</v>
      </c>
      <c r="H3" s="102">
        <v>25</v>
      </c>
      <c r="I3" s="102">
        <v>30</v>
      </c>
      <c r="J3" s="102">
        <v>35</v>
      </c>
      <c r="K3" s="103">
        <v>40</v>
      </c>
      <c r="L3" s="115"/>
    </row>
    <row r="4" spans="1:15" ht="15" customHeight="1" thickTop="1" x14ac:dyDescent="0.3">
      <c r="A4" s="38" t="s">
        <v>3</v>
      </c>
      <c r="B4" s="99">
        <v>4</v>
      </c>
      <c r="C4" s="85">
        <v>6</v>
      </c>
      <c r="D4" s="85">
        <v>8</v>
      </c>
      <c r="E4" s="85">
        <v>10</v>
      </c>
      <c r="F4" s="85">
        <v>15</v>
      </c>
      <c r="G4" s="85">
        <v>20</v>
      </c>
      <c r="H4" s="85">
        <v>25</v>
      </c>
      <c r="I4" s="85">
        <v>30</v>
      </c>
      <c r="J4" s="85">
        <v>35</v>
      </c>
      <c r="K4" s="100">
        <v>40</v>
      </c>
      <c r="L4" s="111"/>
    </row>
    <row r="5" spans="1:15" ht="16.649999999999999" customHeight="1" x14ac:dyDescent="0.3">
      <c r="A5" s="56">
        <v>1.5</v>
      </c>
      <c r="B5" s="22">
        <v>100</v>
      </c>
      <c r="C5" s="23">
        <v>100</v>
      </c>
      <c r="D5" s="23">
        <v>100</v>
      </c>
      <c r="E5" s="23">
        <v>100</v>
      </c>
      <c r="F5" s="23">
        <v>100</v>
      </c>
      <c r="G5" s="23">
        <v>100</v>
      </c>
      <c r="H5" s="23">
        <v>100</v>
      </c>
      <c r="I5" s="23">
        <v>100</v>
      </c>
      <c r="J5" s="23">
        <v>100</v>
      </c>
      <c r="K5" s="29">
        <v>100</v>
      </c>
      <c r="L5" s="34"/>
    </row>
    <row r="6" spans="1:15" ht="16.649999999999999" customHeight="1" x14ac:dyDescent="0.3">
      <c r="A6" s="57">
        <v>2</v>
      </c>
      <c r="B6" s="22">
        <v>98.5</v>
      </c>
      <c r="C6" s="23">
        <v>98.7</v>
      </c>
      <c r="D6" s="23">
        <v>98.8</v>
      </c>
      <c r="E6" s="23">
        <v>98.8</v>
      </c>
      <c r="F6" s="23">
        <v>98.7</v>
      </c>
      <c r="G6" s="23">
        <v>98.6</v>
      </c>
      <c r="H6" s="23">
        <v>98.6</v>
      </c>
      <c r="I6" s="23">
        <v>98.7</v>
      </c>
      <c r="J6" s="23">
        <v>98.7</v>
      </c>
      <c r="K6" s="29">
        <v>98.7</v>
      </c>
      <c r="L6" s="34"/>
    </row>
    <row r="7" spans="1:15" ht="16.649999999999999" customHeight="1" x14ac:dyDescent="0.3">
      <c r="A7" s="57">
        <v>3</v>
      </c>
      <c r="B7" s="22">
        <v>94.3</v>
      </c>
      <c r="C7" s="23">
        <v>94.7</v>
      </c>
      <c r="D7" s="23">
        <v>95</v>
      </c>
      <c r="E7" s="23">
        <v>95.1</v>
      </c>
      <c r="F7" s="23">
        <v>95.2</v>
      </c>
      <c r="G7" s="23">
        <v>95.3</v>
      </c>
      <c r="H7" s="23">
        <v>95.3</v>
      </c>
      <c r="I7" s="23">
        <v>95.4</v>
      </c>
      <c r="J7" s="23">
        <v>95.4</v>
      </c>
      <c r="K7" s="29">
        <v>95.5</v>
      </c>
      <c r="L7" s="113"/>
    </row>
    <row r="8" spans="1:15" ht="16.649999999999999" customHeight="1" x14ac:dyDescent="0.3">
      <c r="A8" s="57">
        <v>4</v>
      </c>
      <c r="B8" s="22">
        <v>89.6</v>
      </c>
      <c r="C8" s="23">
        <v>90.2</v>
      </c>
      <c r="D8" s="23">
        <v>90.7</v>
      </c>
      <c r="E8" s="23">
        <v>91</v>
      </c>
      <c r="F8" s="23">
        <v>91.4</v>
      </c>
      <c r="G8" s="23">
        <v>91.5</v>
      </c>
      <c r="H8" s="23">
        <v>91.7</v>
      </c>
      <c r="I8" s="23">
        <v>91.9</v>
      </c>
      <c r="J8" s="23">
        <v>92</v>
      </c>
      <c r="K8" s="29">
        <v>92.1</v>
      </c>
      <c r="L8" s="113"/>
    </row>
    <row r="9" spans="1:15" ht="16.649999999999999" customHeight="1" x14ac:dyDescent="0.3">
      <c r="A9" s="57">
        <v>5</v>
      </c>
      <c r="B9" s="22">
        <v>84.6</v>
      </c>
      <c r="C9" s="23">
        <v>85.7</v>
      </c>
      <c r="D9" s="23">
        <v>86.4</v>
      </c>
      <c r="E9" s="23">
        <v>86.9</v>
      </c>
      <c r="F9" s="23">
        <v>87.5</v>
      </c>
      <c r="G9" s="23">
        <v>87.9</v>
      </c>
      <c r="H9" s="23">
        <v>88.2</v>
      </c>
      <c r="I9" s="23">
        <v>88.5</v>
      </c>
      <c r="J9" s="23">
        <v>88.7</v>
      </c>
      <c r="K9" s="29">
        <v>88.8</v>
      </c>
      <c r="L9" s="113"/>
      <c r="M9" s="617" t="s">
        <v>27</v>
      </c>
      <c r="N9" s="618"/>
      <c r="O9" s="618"/>
    </row>
    <row r="10" spans="1:15" ht="24.9" customHeight="1" thickBot="1" x14ac:dyDescent="0.35">
      <c r="A10" s="57">
        <v>6</v>
      </c>
      <c r="B10" s="22">
        <v>79.900000000000006</v>
      </c>
      <c r="C10" s="23">
        <v>81.2</v>
      </c>
      <c r="D10" s="23">
        <v>82.1</v>
      </c>
      <c r="E10" s="23">
        <v>82.8</v>
      </c>
      <c r="F10" s="23">
        <v>83.7</v>
      </c>
      <c r="G10" s="23">
        <v>84.2</v>
      </c>
      <c r="H10" s="23">
        <v>84.6</v>
      </c>
      <c r="I10" s="23">
        <v>85</v>
      </c>
      <c r="J10" s="23">
        <v>85.3</v>
      </c>
      <c r="K10" s="29">
        <v>85.5</v>
      </c>
      <c r="L10" s="113"/>
    </row>
    <row r="11" spans="1:15" ht="16.649999999999999" customHeight="1" thickBot="1" x14ac:dyDescent="0.35">
      <c r="A11" s="57">
        <v>7</v>
      </c>
      <c r="B11" s="22">
        <v>75.400000000000006</v>
      </c>
      <c r="C11" s="23">
        <v>76.8</v>
      </c>
      <c r="D11" s="23">
        <v>78</v>
      </c>
      <c r="E11" s="23">
        <v>78.8</v>
      </c>
      <c r="F11" s="23">
        <v>79.900000000000006</v>
      </c>
      <c r="G11" s="23">
        <v>80.7</v>
      </c>
      <c r="H11" s="23">
        <v>81.2</v>
      </c>
      <c r="I11" s="23">
        <v>81.599999999999994</v>
      </c>
      <c r="J11" s="23">
        <v>81.900000000000006</v>
      </c>
      <c r="K11" s="29">
        <v>82.2</v>
      </c>
      <c r="L11" s="113"/>
      <c r="M11" s="614" t="s">
        <v>18</v>
      </c>
      <c r="N11" s="645"/>
      <c r="O11" s="646"/>
    </row>
    <row r="12" spans="1:15" ht="16.649999999999999" customHeight="1" thickBot="1" x14ac:dyDescent="0.35">
      <c r="A12" s="57">
        <v>8</v>
      </c>
      <c r="B12" s="22">
        <v>71</v>
      </c>
      <c r="C12" s="23">
        <v>72.7</v>
      </c>
      <c r="D12" s="23">
        <v>74</v>
      </c>
      <c r="E12" s="23">
        <v>74.900000000000006</v>
      </c>
      <c r="F12" s="23">
        <v>76.3</v>
      </c>
      <c r="G12" s="23">
        <v>77.099999999999994</v>
      </c>
      <c r="H12" s="23">
        <v>77.7</v>
      </c>
      <c r="I12" s="23">
        <v>78.2</v>
      </c>
      <c r="J12" s="23">
        <v>78.599999999999994</v>
      </c>
      <c r="K12" s="29">
        <v>78.900000000000006</v>
      </c>
      <c r="L12" s="113"/>
      <c r="M12" s="155" t="s">
        <v>2</v>
      </c>
      <c r="N12" s="147" t="s">
        <v>34</v>
      </c>
      <c r="O12" s="148" t="s">
        <v>24</v>
      </c>
    </row>
    <row r="13" spans="1:15" ht="16.649999999999999" customHeight="1" thickBot="1" x14ac:dyDescent="0.35">
      <c r="A13" s="57">
        <v>9</v>
      </c>
      <c r="B13" s="22">
        <v>66.900000000000006</v>
      </c>
      <c r="C13" s="23">
        <v>68.7</v>
      </c>
      <c r="D13" s="23">
        <v>70.099999999999994</v>
      </c>
      <c r="E13" s="23">
        <v>71.099999999999994</v>
      </c>
      <c r="F13" s="23">
        <v>72.7</v>
      </c>
      <c r="G13" s="23">
        <v>73.7</v>
      </c>
      <c r="H13" s="23">
        <v>74.400000000000006</v>
      </c>
      <c r="I13" s="23">
        <v>75</v>
      </c>
      <c r="J13" s="23">
        <v>75.400000000000006</v>
      </c>
      <c r="K13" s="29">
        <v>75.7</v>
      </c>
      <c r="L13" s="113"/>
      <c r="M13" s="394">
        <v>10</v>
      </c>
      <c r="N13" s="463">
        <v>10</v>
      </c>
      <c r="O13" s="468">
        <f>Interpolate2DTable(M13,N13,A4:K34)</f>
        <v>67.5</v>
      </c>
    </row>
    <row r="14" spans="1:15" ht="16.649999999999999" customHeight="1" x14ac:dyDescent="0.3">
      <c r="A14" s="57">
        <v>10</v>
      </c>
      <c r="B14" s="22">
        <v>63</v>
      </c>
      <c r="C14" s="23">
        <v>64.900000000000006</v>
      </c>
      <c r="D14" s="23">
        <v>66.400000000000006</v>
      </c>
      <c r="E14" s="23">
        <v>67.5</v>
      </c>
      <c r="F14" s="23">
        <v>69.3</v>
      </c>
      <c r="G14" s="23">
        <v>70.400000000000006</v>
      </c>
      <c r="H14" s="23">
        <v>71.099999999999994</v>
      </c>
      <c r="I14" s="23">
        <v>71.7</v>
      </c>
      <c r="J14" s="23">
        <v>72.2</v>
      </c>
      <c r="K14" s="29">
        <v>72.5</v>
      </c>
      <c r="L14" s="113"/>
    </row>
    <row r="15" spans="1:15" ht="24.9" customHeight="1" x14ac:dyDescent="0.3">
      <c r="A15" s="57">
        <v>11</v>
      </c>
      <c r="B15" s="22">
        <v>59.3</v>
      </c>
      <c r="C15" s="23">
        <v>61.3</v>
      </c>
      <c r="D15" s="23">
        <v>62.8</v>
      </c>
      <c r="E15" s="23">
        <v>64</v>
      </c>
      <c r="F15" s="23">
        <v>66</v>
      </c>
      <c r="G15" s="23">
        <v>67.2</v>
      </c>
      <c r="H15" s="23">
        <v>68</v>
      </c>
      <c r="I15" s="23">
        <v>68.599999999999994</v>
      </c>
      <c r="J15" s="23">
        <v>69.099999999999994</v>
      </c>
      <c r="K15" s="29">
        <v>69.5</v>
      </c>
      <c r="L15" s="113"/>
    </row>
    <row r="16" spans="1:15" ht="16.649999999999999" customHeight="1" x14ac:dyDescent="0.3">
      <c r="A16" s="57">
        <v>12</v>
      </c>
      <c r="B16" s="22">
        <v>55.8</v>
      </c>
      <c r="C16" s="23">
        <v>57.8</v>
      </c>
      <c r="D16" s="23">
        <v>59.4</v>
      </c>
      <c r="E16" s="23">
        <v>60.7</v>
      </c>
      <c r="F16" s="23">
        <v>62.8</v>
      </c>
      <c r="G16" s="23">
        <v>64.099999999999994</v>
      </c>
      <c r="H16" s="23">
        <v>65</v>
      </c>
      <c r="I16" s="23">
        <v>65.7</v>
      </c>
      <c r="J16" s="23">
        <v>66.2</v>
      </c>
      <c r="K16" s="29">
        <v>66.599999999999994</v>
      </c>
      <c r="L16" s="113"/>
      <c r="M16" s="1"/>
      <c r="N16" s="568"/>
      <c r="O16" s="581"/>
    </row>
    <row r="17" spans="1:15" ht="16.649999999999999" customHeight="1" x14ac:dyDescent="0.3">
      <c r="A17" s="57">
        <v>13</v>
      </c>
      <c r="B17" s="22">
        <v>52.6</v>
      </c>
      <c r="C17" s="23">
        <v>54.6</v>
      </c>
      <c r="D17" s="23">
        <v>56.3</v>
      </c>
      <c r="E17" s="23">
        <v>57.6</v>
      </c>
      <c r="F17" s="23">
        <v>59.8</v>
      </c>
      <c r="G17" s="23">
        <v>61.2</v>
      </c>
      <c r="H17" s="23">
        <v>62.1</v>
      </c>
      <c r="I17" s="23">
        <v>62.8</v>
      </c>
      <c r="J17" s="23">
        <v>63.4</v>
      </c>
      <c r="K17" s="29">
        <v>63.8</v>
      </c>
      <c r="L17" s="113"/>
      <c r="M17" s="123"/>
      <c r="N17" s="159"/>
      <c r="O17" s="159"/>
    </row>
    <row r="18" spans="1:15" ht="16.649999999999999" customHeight="1" x14ac:dyDescent="0.3">
      <c r="A18" s="57">
        <v>14</v>
      </c>
      <c r="B18" s="22">
        <v>49.5</v>
      </c>
      <c r="C18" s="23">
        <v>51.6</v>
      </c>
      <c r="D18" s="23">
        <v>53.2</v>
      </c>
      <c r="E18" s="23">
        <v>54.5</v>
      </c>
      <c r="F18" s="23">
        <v>56.8</v>
      </c>
      <c r="G18" s="23">
        <v>58.2</v>
      </c>
      <c r="H18" s="23">
        <v>59.2</v>
      </c>
      <c r="I18" s="23">
        <v>59.9</v>
      </c>
      <c r="J18" s="23">
        <v>60.5</v>
      </c>
      <c r="K18" s="29">
        <v>61</v>
      </c>
      <c r="L18" s="113"/>
      <c r="M18" s="124"/>
      <c r="N18" s="160"/>
      <c r="O18" s="67"/>
    </row>
    <row r="19" spans="1:15" ht="16.649999999999999" customHeight="1" x14ac:dyDescent="0.3">
      <c r="A19" s="57">
        <v>15</v>
      </c>
      <c r="B19" s="22">
        <v>46.7</v>
      </c>
      <c r="C19" s="23">
        <v>48.7</v>
      </c>
      <c r="D19" s="23">
        <v>50.3</v>
      </c>
      <c r="E19" s="23">
        <v>51.7</v>
      </c>
      <c r="F19" s="23">
        <v>54</v>
      </c>
      <c r="G19" s="23">
        <v>55.5</v>
      </c>
      <c r="H19" s="23">
        <v>56.5</v>
      </c>
      <c r="I19" s="23">
        <v>57.3</v>
      </c>
      <c r="J19" s="23">
        <v>57.9</v>
      </c>
      <c r="K19" s="29">
        <v>58.4</v>
      </c>
      <c r="L19" s="113"/>
    </row>
    <row r="20" spans="1:15" ht="24.9" customHeight="1" x14ac:dyDescent="0.3">
      <c r="A20" s="57">
        <v>16</v>
      </c>
      <c r="B20" s="22">
        <v>43.9</v>
      </c>
      <c r="C20" s="23">
        <v>45.9</v>
      </c>
      <c r="D20" s="23">
        <v>47.5</v>
      </c>
      <c r="E20" s="23">
        <v>48.9</v>
      </c>
      <c r="F20" s="23">
        <v>51.3</v>
      </c>
      <c r="G20" s="23">
        <v>52.8</v>
      </c>
      <c r="H20" s="23">
        <v>53.9</v>
      </c>
      <c r="I20" s="23">
        <v>54.7</v>
      </c>
      <c r="J20" s="23">
        <v>55.3</v>
      </c>
      <c r="K20" s="29">
        <v>55.8</v>
      </c>
      <c r="L20" s="113"/>
    </row>
    <row r="21" spans="1:15" ht="16.649999999999999" customHeight="1" x14ac:dyDescent="0.3">
      <c r="A21" s="57">
        <v>17</v>
      </c>
      <c r="B21" s="22">
        <v>41.3</v>
      </c>
      <c r="C21" s="23">
        <v>43.3</v>
      </c>
      <c r="D21" s="23">
        <v>45</v>
      </c>
      <c r="E21" s="23">
        <v>46.3</v>
      </c>
      <c r="F21" s="23">
        <v>48.7</v>
      </c>
      <c r="G21" s="23">
        <v>50.3</v>
      </c>
      <c r="H21" s="23">
        <v>51.4</v>
      </c>
      <c r="I21" s="23">
        <v>52.3</v>
      </c>
      <c r="J21" s="23">
        <v>52.9</v>
      </c>
      <c r="K21" s="29">
        <v>53.4</v>
      </c>
      <c r="L21" s="113"/>
    </row>
    <row r="22" spans="1:15" ht="16.649999999999999" customHeight="1" x14ac:dyDescent="0.3">
      <c r="A22" s="57">
        <v>18</v>
      </c>
      <c r="B22" s="22">
        <v>38.9</v>
      </c>
      <c r="C22" s="23">
        <v>40.9</v>
      </c>
      <c r="D22" s="23">
        <v>42.5</v>
      </c>
      <c r="E22" s="23">
        <v>43.8</v>
      </c>
      <c r="F22" s="23">
        <v>46.2</v>
      </c>
      <c r="G22" s="23">
        <v>47.9</v>
      </c>
      <c r="H22" s="23">
        <v>49</v>
      </c>
      <c r="I22" s="23">
        <v>49.9</v>
      </c>
      <c r="J22" s="23">
        <v>50.5</v>
      </c>
      <c r="K22" s="29">
        <v>51</v>
      </c>
      <c r="L22" s="113"/>
    </row>
    <row r="23" spans="1:15" ht="16.649999999999999" customHeight="1" x14ac:dyDescent="0.3">
      <c r="A23" s="57">
        <v>19</v>
      </c>
      <c r="B23" s="22">
        <v>36.700000000000003</v>
      </c>
      <c r="C23" s="23">
        <v>38.6</v>
      </c>
      <c r="D23" s="23">
        <v>40.200000000000003</v>
      </c>
      <c r="E23" s="23">
        <v>41.5</v>
      </c>
      <c r="F23" s="23">
        <v>43.9</v>
      </c>
      <c r="G23" s="23">
        <v>45.6</v>
      </c>
      <c r="H23" s="23">
        <v>46.7</v>
      </c>
      <c r="I23" s="23">
        <v>47.6</v>
      </c>
      <c r="J23" s="23">
        <v>48.2</v>
      </c>
      <c r="K23" s="29">
        <v>48.7</v>
      </c>
      <c r="L23" s="113"/>
    </row>
    <row r="24" spans="1:15" ht="16.649999999999999" customHeight="1" x14ac:dyDescent="0.3">
      <c r="A24" s="57">
        <v>20</v>
      </c>
      <c r="B24" s="22">
        <v>34.6</v>
      </c>
      <c r="C24" s="23">
        <v>36.4</v>
      </c>
      <c r="D24" s="23">
        <v>38</v>
      </c>
      <c r="E24" s="23">
        <v>39.299999999999997</v>
      </c>
      <c r="F24" s="23">
        <v>41.7</v>
      </c>
      <c r="G24" s="23">
        <v>43.4</v>
      </c>
      <c r="H24" s="23">
        <v>44.5</v>
      </c>
      <c r="I24" s="23">
        <v>45.4</v>
      </c>
      <c r="J24" s="23">
        <v>46</v>
      </c>
      <c r="K24" s="29">
        <v>46.5</v>
      </c>
      <c r="L24" s="113"/>
    </row>
    <row r="25" spans="1:15" ht="24.9" customHeight="1" x14ac:dyDescent="0.3">
      <c r="A25" s="57">
        <v>21</v>
      </c>
      <c r="B25" s="22">
        <v>32.6</v>
      </c>
      <c r="C25" s="23">
        <v>34.4</v>
      </c>
      <c r="D25" s="23">
        <v>35.9</v>
      </c>
      <c r="E25" s="23">
        <v>37.200000000000003</v>
      </c>
      <c r="F25" s="23">
        <v>39.6</v>
      </c>
      <c r="G25" s="23">
        <v>41.3</v>
      </c>
      <c r="H25" s="23">
        <v>42.4</v>
      </c>
      <c r="I25" s="23">
        <v>43.3</v>
      </c>
      <c r="J25" s="23">
        <v>43.9</v>
      </c>
      <c r="K25" s="29">
        <v>44.4</v>
      </c>
      <c r="L25" s="113"/>
    </row>
    <row r="26" spans="1:15" ht="16.649999999999999" customHeight="1" x14ac:dyDescent="0.3">
      <c r="A26" s="57">
        <v>22</v>
      </c>
      <c r="B26" s="22">
        <v>30.7</v>
      </c>
      <c r="C26" s="23">
        <v>32.4</v>
      </c>
      <c r="D26" s="23">
        <v>33.9</v>
      </c>
      <c r="E26" s="23">
        <v>35.200000000000003</v>
      </c>
      <c r="F26" s="23">
        <v>37.6</v>
      </c>
      <c r="G26" s="23">
        <v>39.299999999999997</v>
      </c>
      <c r="H26" s="23">
        <v>40.4</v>
      </c>
      <c r="I26" s="23">
        <v>41.3</v>
      </c>
      <c r="J26" s="23">
        <v>41.9</v>
      </c>
      <c r="K26" s="29">
        <v>42.4</v>
      </c>
      <c r="L26" s="113"/>
    </row>
    <row r="27" spans="1:15" ht="16.649999999999999" customHeight="1" x14ac:dyDescent="0.3">
      <c r="A27" s="57">
        <v>23</v>
      </c>
      <c r="B27" s="22">
        <v>28.9</v>
      </c>
      <c r="C27" s="23">
        <v>30.6</v>
      </c>
      <c r="D27" s="23">
        <v>32.1</v>
      </c>
      <c r="E27" s="23">
        <v>33.299999999999997</v>
      </c>
      <c r="F27" s="23">
        <v>35.700000000000003</v>
      </c>
      <c r="G27" s="23">
        <v>37.299999999999997</v>
      </c>
      <c r="H27" s="23">
        <v>38.5</v>
      </c>
      <c r="I27" s="23">
        <v>39.4</v>
      </c>
      <c r="J27" s="23">
        <v>40</v>
      </c>
      <c r="K27" s="29">
        <v>40.5</v>
      </c>
      <c r="L27" s="113"/>
    </row>
    <row r="28" spans="1:15" ht="16.649999999999999" customHeight="1" x14ac:dyDescent="0.3">
      <c r="A28" s="57">
        <v>24</v>
      </c>
      <c r="B28" s="22">
        <v>27.3</v>
      </c>
      <c r="C28" s="23">
        <v>29</v>
      </c>
      <c r="D28" s="23">
        <v>30.4</v>
      </c>
      <c r="E28" s="23">
        <v>31.6</v>
      </c>
      <c r="F28" s="23">
        <v>33.9</v>
      </c>
      <c r="G28" s="23">
        <v>35.5</v>
      </c>
      <c r="H28" s="23">
        <v>36.700000000000003</v>
      </c>
      <c r="I28" s="23">
        <v>37.6</v>
      </c>
      <c r="J28" s="23">
        <v>38.200000000000003</v>
      </c>
      <c r="K28" s="29">
        <v>38.700000000000003</v>
      </c>
      <c r="L28" s="113"/>
    </row>
    <row r="29" spans="1:15" ht="16.649999999999999" customHeight="1" x14ac:dyDescent="0.3">
      <c r="A29" s="57">
        <v>25</v>
      </c>
      <c r="B29" s="22">
        <v>25.7</v>
      </c>
      <c r="C29" s="23">
        <v>27.3</v>
      </c>
      <c r="D29" s="23">
        <v>28.7</v>
      </c>
      <c r="E29" s="23">
        <v>29.9</v>
      </c>
      <c r="F29" s="23">
        <v>32.200000000000003</v>
      </c>
      <c r="G29" s="23">
        <v>33.799999999999997</v>
      </c>
      <c r="H29" s="23">
        <v>35</v>
      </c>
      <c r="I29" s="23">
        <v>35.799999999999997</v>
      </c>
      <c r="J29" s="23">
        <v>36.5</v>
      </c>
      <c r="K29" s="29">
        <v>37</v>
      </c>
      <c r="L29" s="113"/>
    </row>
    <row r="30" spans="1:15" ht="24.9" customHeight="1" x14ac:dyDescent="0.3">
      <c r="A30" s="57">
        <v>26</v>
      </c>
      <c r="B30" s="22">
        <v>24.3</v>
      </c>
      <c r="C30" s="23">
        <v>25.8</v>
      </c>
      <c r="D30" s="23">
        <v>27.2</v>
      </c>
      <c r="E30" s="23">
        <v>28.3</v>
      </c>
      <c r="F30" s="23">
        <v>30.6</v>
      </c>
      <c r="G30" s="23">
        <v>32.1</v>
      </c>
      <c r="H30" s="23">
        <v>33.299999999999997</v>
      </c>
      <c r="I30" s="23">
        <v>34.1</v>
      </c>
      <c r="J30" s="23">
        <v>34.799999999999997</v>
      </c>
      <c r="K30" s="29">
        <v>35.299999999999997</v>
      </c>
      <c r="L30" s="113"/>
    </row>
    <row r="31" spans="1:15" s="36" customFormat="1" ht="16.649999999999999" customHeight="1" x14ac:dyDescent="0.3">
      <c r="A31" s="57">
        <v>27</v>
      </c>
      <c r="B31" s="22">
        <v>22.9</v>
      </c>
      <c r="C31" s="23">
        <v>24.4</v>
      </c>
      <c r="D31" s="23">
        <v>25.7</v>
      </c>
      <c r="E31" s="23">
        <v>26.8</v>
      </c>
      <c r="F31" s="23">
        <v>29</v>
      </c>
      <c r="G31" s="23">
        <v>30.5</v>
      </c>
      <c r="H31" s="23">
        <v>31.7</v>
      </c>
      <c r="I31" s="23">
        <v>32.5</v>
      </c>
      <c r="J31" s="23">
        <v>33.200000000000003</v>
      </c>
      <c r="K31" s="29">
        <v>33.700000000000003</v>
      </c>
      <c r="L31" s="113"/>
    </row>
    <row r="32" spans="1:15" s="36" customFormat="1" ht="16.649999999999999" customHeight="1" x14ac:dyDescent="0.3">
      <c r="A32" s="57">
        <v>28</v>
      </c>
      <c r="B32" s="22">
        <v>21.7</v>
      </c>
      <c r="C32" s="23">
        <v>23.1</v>
      </c>
      <c r="D32" s="23">
        <v>24.3</v>
      </c>
      <c r="E32" s="23">
        <v>25.4</v>
      </c>
      <c r="F32" s="23">
        <v>27.6</v>
      </c>
      <c r="G32" s="23">
        <v>29.1</v>
      </c>
      <c r="H32" s="23">
        <v>30.2</v>
      </c>
      <c r="I32" s="23">
        <v>31</v>
      </c>
      <c r="J32" s="23">
        <v>31.7</v>
      </c>
      <c r="K32" s="29">
        <v>32.200000000000003</v>
      </c>
      <c r="L32" s="113"/>
    </row>
    <row r="33" spans="1:12" s="36" customFormat="1" ht="16.649999999999999" customHeight="1" x14ac:dyDescent="0.3">
      <c r="A33" s="57">
        <v>29</v>
      </c>
      <c r="B33" s="22">
        <v>20.5</v>
      </c>
      <c r="C33" s="23">
        <v>21.8</v>
      </c>
      <c r="D33" s="23">
        <v>23</v>
      </c>
      <c r="E33" s="23">
        <v>24.1</v>
      </c>
      <c r="F33" s="23">
        <v>26.2</v>
      </c>
      <c r="G33" s="23">
        <v>27.7</v>
      </c>
      <c r="H33" s="23">
        <v>28.8</v>
      </c>
      <c r="I33" s="23">
        <v>29.6</v>
      </c>
      <c r="J33" s="23">
        <v>30.2</v>
      </c>
      <c r="K33" s="29">
        <v>30.7</v>
      </c>
      <c r="L33" s="113"/>
    </row>
    <row r="34" spans="1:12" s="36" customFormat="1" ht="16.649999999999999" customHeight="1" thickBot="1" x14ac:dyDescent="0.35">
      <c r="A34" s="59">
        <v>30</v>
      </c>
      <c r="B34" s="61">
        <v>19.3</v>
      </c>
      <c r="C34" s="62">
        <v>20.6</v>
      </c>
      <c r="D34" s="62">
        <v>21.7</v>
      </c>
      <c r="E34" s="62">
        <v>22.8</v>
      </c>
      <c r="F34" s="62">
        <v>24.8</v>
      </c>
      <c r="G34" s="62">
        <v>26.3</v>
      </c>
      <c r="H34" s="62">
        <v>27.4</v>
      </c>
      <c r="I34" s="62">
        <v>28.2</v>
      </c>
      <c r="J34" s="62">
        <v>28.8</v>
      </c>
      <c r="K34" s="63">
        <v>29.3</v>
      </c>
      <c r="L34" s="114"/>
    </row>
    <row r="35" spans="1:12" ht="17.25" customHeight="1" thickTop="1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</row>
  </sheetData>
  <mergeCells count="5">
    <mergeCell ref="N16:O16"/>
    <mergeCell ref="A1:K1"/>
    <mergeCell ref="A2:K2"/>
    <mergeCell ref="M9:O9"/>
    <mergeCell ref="M11:O11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Y143"/>
  <sheetViews>
    <sheetView showGridLines="0" workbookViewId="0">
      <selection activeCell="A2" sqref="A2:K2"/>
    </sheetView>
  </sheetViews>
  <sheetFormatPr defaultRowHeight="12.45" x14ac:dyDescent="0.3"/>
  <cols>
    <col min="1" max="1" width="9.84375" customWidth="1"/>
    <col min="2" max="11" width="7.69140625" customWidth="1"/>
  </cols>
  <sheetData>
    <row r="1" spans="1:25" s="225" customFormat="1" ht="30" customHeight="1" x14ac:dyDescent="0.4">
      <c r="A1" s="523" t="s">
        <v>13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219"/>
      <c r="M1" s="231"/>
      <c r="N1" s="231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</row>
    <row r="2" spans="1:25" ht="24" customHeight="1" thickBot="1" x14ac:dyDescent="0.4">
      <c r="A2" s="612" t="s">
        <v>133</v>
      </c>
      <c r="B2" s="613"/>
      <c r="C2" s="613"/>
      <c r="D2" s="613"/>
      <c r="E2" s="613"/>
      <c r="F2" s="613"/>
      <c r="G2" s="613"/>
      <c r="H2" s="613"/>
      <c r="I2" s="613"/>
      <c r="J2" s="613"/>
      <c r="K2" s="613"/>
      <c r="L2" s="210"/>
      <c r="M2" s="211"/>
      <c r="N2" s="211"/>
      <c r="O2" s="214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1.9" customHeight="1" thickTop="1" thickBot="1" x14ac:dyDescent="0.35">
      <c r="A3" s="58" t="s">
        <v>37</v>
      </c>
      <c r="B3" s="96">
        <v>4</v>
      </c>
      <c r="C3" s="97">
        <v>6</v>
      </c>
      <c r="D3" s="97">
        <v>8</v>
      </c>
      <c r="E3" s="97">
        <v>10</v>
      </c>
      <c r="F3" s="97">
        <v>15</v>
      </c>
      <c r="G3" s="97">
        <v>20</v>
      </c>
      <c r="H3" s="97">
        <v>25</v>
      </c>
      <c r="I3" s="97">
        <v>30</v>
      </c>
      <c r="J3" s="97">
        <v>35</v>
      </c>
      <c r="K3" s="98">
        <v>40</v>
      </c>
      <c r="L3" s="6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1"/>
      <c r="Y3" s="1"/>
    </row>
    <row r="4" spans="1:25" ht="14.4" customHeight="1" thickTop="1" x14ac:dyDescent="0.3">
      <c r="A4" s="38" t="s">
        <v>3</v>
      </c>
      <c r="B4" s="26">
        <v>4</v>
      </c>
      <c r="C4" s="27">
        <v>6</v>
      </c>
      <c r="D4" s="27">
        <v>8</v>
      </c>
      <c r="E4" s="27">
        <v>10</v>
      </c>
      <c r="F4" s="27">
        <v>15</v>
      </c>
      <c r="G4" s="27">
        <v>20</v>
      </c>
      <c r="H4" s="27">
        <v>25</v>
      </c>
      <c r="I4" s="27">
        <v>30</v>
      </c>
      <c r="J4" s="27">
        <v>35</v>
      </c>
      <c r="K4" s="28">
        <v>40</v>
      </c>
      <c r="L4" s="10"/>
      <c r="M4" s="65"/>
      <c r="N4" s="35"/>
      <c r="O4" s="66"/>
      <c r="P4" s="66"/>
      <c r="Q4" s="66"/>
      <c r="R4" s="66"/>
      <c r="S4" s="66"/>
      <c r="T4" s="66"/>
      <c r="U4" s="66"/>
      <c r="V4" s="66"/>
      <c r="W4" s="66"/>
      <c r="X4" s="1"/>
      <c r="Y4" s="1"/>
    </row>
    <row r="5" spans="1:25" ht="17.25" customHeight="1" x14ac:dyDescent="0.3">
      <c r="A5" s="56">
        <v>1.5</v>
      </c>
      <c r="B5" s="72">
        <v>1</v>
      </c>
      <c r="C5" s="73">
        <v>1</v>
      </c>
      <c r="D5" s="73">
        <v>1</v>
      </c>
      <c r="E5" s="73">
        <v>1</v>
      </c>
      <c r="F5" s="73">
        <v>1</v>
      </c>
      <c r="G5" s="73">
        <v>1</v>
      </c>
      <c r="H5" s="73">
        <v>1</v>
      </c>
      <c r="I5" s="73">
        <v>1</v>
      </c>
      <c r="J5" s="73">
        <v>1</v>
      </c>
      <c r="K5" s="74">
        <v>1</v>
      </c>
      <c r="L5" s="10"/>
      <c r="M5" s="35"/>
      <c r="N5" s="67"/>
      <c r="O5" s="67"/>
      <c r="P5" s="67"/>
      <c r="Q5" s="67"/>
      <c r="R5" s="67"/>
      <c r="S5" s="67"/>
      <c r="T5" s="67"/>
      <c r="U5" s="67"/>
      <c r="V5" s="67"/>
      <c r="W5" s="67"/>
      <c r="X5" s="1"/>
      <c r="Y5" s="1"/>
    </row>
    <row r="6" spans="1:25" ht="16.649999999999999" customHeight="1" x14ac:dyDescent="0.3">
      <c r="A6" s="57">
        <v>2</v>
      </c>
      <c r="B6" s="72">
        <v>0.995</v>
      </c>
      <c r="C6" s="73">
        <v>0.997</v>
      </c>
      <c r="D6" s="73">
        <v>0.997</v>
      </c>
      <c r="E6" s="73">
        <v>0.998</v>
      </c>
      <c r="F6" s="73">
        <v>0.997</v>
      </c>
      <c r="G6" s="73">
        <v>0.996</v>
      </c>
      <c r="H6" s="73">
        <v>0.996</v>
      </c>
      <c r="I6" s="73">
        <v>0.997</v>
      </c>
      <c r="J6" s="73">
        <v>0.997</v>
      </c>
      <c r="K6" s="74">
        <v>0.997</v>
      </c>
      <c r="L6" s="10"/>
      <c r="M6" s="35"/>
      <c r="N6" s="67"/>
      <c r="O6" s="67"/>
      <c r="P6" s="67"/>
      <c r="Q6" s="67"/>
      <c r="R6" s="67"/>
      <c r="S6" s="67"/>
      <c r="T6" s="67"/>
      <c r="U6" s="67"/>
      <c r="V6" s="67"/>
      <c r="W6" s="67"/>
      <c r="X6" s="1"/>
      <c r="Y6" s="1"/>
    </row>
    <row r="7" spans="1:25" ht="16.649999999999999" customHeight="1" x14ac:dyDescent="0.3">
      <c r="A7" s="57">
        <v>3</v>
      </c>
      <c r="B7" s="72">
        <v>0.97099999999999997</v>
      </c>
      <c r="C7" s="73">
        <v>0.97399999999999998</v>
      </c>
      <c r="D7" s="73">
        <v>0.97799999999999998</v>
      </c>
      <c r="E7" s="73">
        <v>0.97899999999999998</v>
      </c>
      <c r="F7" s="73">
        <v>0.98</v>
      </c>
      <c r="G7" s="73">
        <v>0.98099999999999998</v>
      </c>
      <c r="H7" s="73">
        <v>0.98099999999999998</v>
      </c>
      <c r="I7" s="73">
        <v>0.98199999999999998</v>
      </c>
      <c r="J7" s="73">
        <v>0.98199999999999998</v>
      </c>
      <c r="K7" s="74">
        <v>0.98299999999999998</v>
      </c>
      <c r="L7" s="10"/>
      <c r="M7" s="35"/>
      <c r="N7" s="67"/>
      <c r="O7" s="67"/>
      <c r="P7" s="67"/>
      <c r="Q7" s="67"/>
      <c r="R7" s="67"/>
      <c r="S7" s="67"/>
      <c r="T7" s="67"/>
      <c r="U7" s="67"/>
      <c r="V7" s="67"/>
      <c r="W7" s="67"/>
      <c r="X7" s="1"/>
      <c r="Y7" s="1"/>
    </row>
    <row r="8" spans="1:25" ht="16.649999999999999" customHeight="1" x14ac:dyDescent="0.3">
      <c r="A8" s="57">
        <v>4</v>
      </c>
      <c r="B8" s="72">
        <v>0.94</v>
      </c>
      <c r="C8" s="73">
        <v>0.94599999999999995</v>
      </c>
      <c r="D8" s="73">
        <v>0.95099999999999996</v>
      </c>
      <c r="E8" s="73">
        <v>0.95399999999999996</v>
      </c>
      <c r="F8" s="73">
        <v>0.95799999999999996</v>
      </c>
      <c r="G8" s="73">
        <v>0.96</v>
      </c>
      <c r="H8" s="73">
        <v>0.96199999999999997</v>
      </c>
      <c r="I8" s="73">
        <v>0.96399999999999997</v>
      </c>
      <c r="J8" s="73">
        <v>0.96499999999999997</v>
      </c>
      <c r="K8" s="74">
        <v>0.96599999999999997</v>
      </c>
      <c r="L8" s="10"/>
      <c r="M8" s="35"/>
      <c r="N8" s="67"/>
      <c r="O8" s="67"/>
      <c r="P8" s="67"/>
      <c r="Q8" s="67"/>
      <c r="R8" s="67"/>
      <c r="S8" s="67"/>
      <c r="T8" s="67"/>
      <c r="U8" s="67"/>
      <c r="V8" s="67"/>
      <c r="W8" s="67"/>
      <c r="X8" s="1"/>
      <c r="Y8" s="1"/>
    </row>
    <row r="9" spans="1:25" ht="16.649999999999999" customHeight="1" x14ac:dyDescent="0.3">
      <c r="A9" s="57">
        <v>5</v>
      </c>
      <c r="B9" s="72">
        <v>0.90400000000000003</v>
      </c>
      <c r="C9" s="73">
        <v>0.91500000000000004</v>
      </c>
      <c r="D9" s="73">
        <v>0.92200000000000004</v>
      </c>
      <c r="E9" s="73">
        <v>0.92800000000000005</v>
      </c>
      <c r="F9" s="73">
        <v>0.93500000000000005</v>
      </c>
      <c r="G9" s="73">
        <v>0.93899999999999995</v>
      </c>
      <c r="H9" s="73">
        <v>0.94199999999999995</v>
      </c>
      <c r="I9" s="73">
        <v>0.94499999999999995</v>
      </c>
      <c r="J9" s="73">
        <v>0.94799999999999995</v>
      </c>
      <c r="K9" s="74">
        <v>0.94899999999999995</v>
      </c>
      <c r="L9" s="10"/>
      <c r="M9" s="35"/>
      <c r="N9" s="67"/>
      <c r="O9" s="67"/>
      <c r="P9" s="67"/>
      <c r="Q9" s="67"/>
      <c r="R9" s="67"/>
      <c r="S9" s="67"/>
      <c r="T9" s="67"/>
      <c r="U9" s="67"/>
      <c r="V9" s="67"/>
      <c r="W9" s="67"/>
      <c r="X9" s="1"/>
      <c r="Y9" s="1"/>
    </row>
    <row r="10" spans="1:25" ht="24.9" customHeight="1" x14ac:dyDescent="0.3">
      <c r="A10" s="57">
        <v>6</v>
      </c>
      <c r="B10" s="72">
        <v>0.86899999999999999</v>
      </c>
      <c r="C10" s="73">
        <v>0.88200000000000001</v>
      </c>
      <c r="D10" s="73">
        <v>0.89200000000000002</v>
      </c>
      <c r="E10" s="73">
        <v>0.9</v>
      </c>
      <c r="F10" s="73">
        <v>0.91</v>
      </c>
      <c r="G10" s="73">
        <v>0.91600000000000004</v>
      </c>
      <c r="H10" s="73">
        <v>0.92</v>
      </c>
      <c r="I10" s="73">
        <v>0.92500000000000004</v>
      </c>
      <c r="J10" s="73">
        <v>0.92800000000000005</v>
      </c>
      <c r="K10" s="74">
        <v>0.93100000000000005</v>
      </c>
      <c r="L10" s="10"/>
      <c r="M10" s="617" t="s">
        <v>27</v>
      </c>
      <c r="N10" s="618"/>
      <c r="O10" s="618"/>
      <c r="P10" s="67"/>
      <c r="Q10" s="67"/>
      <c r="R10" s="67"/>
      <c r="S10" s="67"/>
      <c r="T10" s="67"/>
      <c r="U10" s="67"/>
      <c r="V10" s="67"/>
      <c r="W10" s="67"/>
      <c r="X10" s="1"/>
      <c r="Y10" s="1"/>
    </row>
    <row r="11" spans="1:25" ht="16.649999999999999" customHeight="1" thickBot="1" x14ac:dyDescent="0.35">
      <c r="A11" s="57">
        <v>7</v>
      </c>
      <c r="B11" s="72">
        <v>0.83499999999999996</v>
      </c>
      <c r="C11" s="73">
        <v>0.85</v>
      </c>
      <c r="D11" s="73">
        <v>0.86299999999999999</v>
      </c>
      <c r="E11" s="73">
        <v>0.871</v>
      </c>
      <c r="F11" s="73">
        <v>0.88400000000000001</v>
      </c>
      <c r="G11" s="73">
        <v>0.89300000000000002</v>
      </c>
      <c r="H11" s="73">
        <v>0.89900000000000002</v>
      </c>
      <c r="I11" s="73">
        <v>0.90400000000000003</v>
      </c>
      <c r="J11" s="73">
        <v>0.90700000000000003</v>
      </c>
      <c r="K11" s="74">
        <v>0.91100000000000003</v>
      </c>
      <c r="L11" s="10"/>
      <c r="M11" s="35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1"/>
      <c r="Y11" s="1"/>
    </row>
    <row r="12" spans="1:25" ht="16.649999999999999" customHeight="1" thickBot="1" x14ac:dyDescent="0.35">
      <c r="A12" s="57">
        <v>8</v>
      </c>
      <c r="B12" s="72">
        <v>0.8</v>
      </c>
      <c r="C12" s="73">
        <v>0.81799999999999995</v>
      </c>
      <c r="D12" s="73">
        <v>0.83199999999999996</v>
      </c>
      <c r="E12" s="73">
        <v>0.84299999999999997</v>
      </c>
      <c r="F12" s="73">
        <v>0.86</v>
      </c>
      <c r="G12" s="73">
        <v>0.86899999999999999</v>
      </c>
      <c r="H12" s="73">
        <v>0.876</v>
      </c>
      <c r="I12" s="73">
        <v>0.88200000000000001</v>
      </c>
      <c r="J12" s="73">
        <v>0.88600000000000001</v>
      </c>
      <c r="K12" s="74">
        <v>0.89</v>
      </c>
      <c r="L12" s="10"/>
      <c r="M12" s="619" t="s">
        <v>18</v>
      </c>
      <c r="N12" s="620"/>
      <c r="O12" s="621"/>
      <c r="P12" s="67"/>
      <c r="Q12" s="67"/>
      <c r="R12" s="67"/>
      <c r="S12" s="67"/>
      <c r="T12" s="67"/>
      <c r="U12" s="67"/>
      <c r="V12" s="67"/>
      <c r="W12" s="67"/>
      <c r="X12" s="1"/>
      <c r="Y12" s="1"/>
    </row>
    <row r="13" spans="1:25" ht="16.649999999999999" customHeight="1" thickBot="1" x14ac:dyDescent="0.35">
      <c r="A13" s="57">
        <v>9</v>
      </c>
      <c r="B13" s="72">
        <v>0.76700000000000002</v>
      </c>
      <c r="C13" s="73">
        <v>0.78600000000000003</v>
      </c>
      <c r="D13" s="73">
        <v>0.80100000000000005</v>
      </c>
      <c r="E13" s="73">
        <v>0.81399999999999995</v>
      </c>
      <c r="F13" s="73">
        <v>0.83299999999999996</v>
      </c>
      <c r="G13" s="73">
        <v>0.84399999999999997</v>
      </c>
      <c r="H13" s="73">
        <v>0.85299999999999998</v>
      </c>
      <c r="I13" s="73">
        <v>0.86</v>
      </c>
      <c r="J13" s="73">
        <v>0.86499999999999999</v>
      </c>
      <c r="K13" s="74">
        <v>0.87</v>
      </c>
      <c r="L13" s="10"/>
      <c r="M13" s="155" t="s">
        <v>2</v>
      </c>
      <c r="N13" s="147" t="s">
        <v>39</v>
      </c>
      <c r="O13" s="148" t="s">
        <v>19</v>
      </c>
      <c r="P13" s="67"/>
      <c r="Q13" s="67"/>
      <c r="R13" s="67"/>
      <c r="S13" s="67"/>
      <c r="T13" s="67"/>
      <c r="U13" s="67"/>
      <c r="V13" s="67"/>
      <c r="W13" s="67"/>
      <c r="X13" s="1"/>
      <c r="Y13" s="1"/>
    </row>
    <row r="14" spans="1:25" ht="16.649999999999999" customHeight="1" thickBot="1" x14ac:dyDescent="0.35">
      <c r="A14" s="57">
        <v>10</v>
      </c>
      <c r="B14" s="72">
        <v>0.73499999999999999</v>
      </c>
      <c r="C14" s="73">
        <v>0.755</v>
      </c>
      <c r="D14" s="73">
        <v>0.77200000000000002</v>
      </c>
      <c r="E14" s="73">
        <v>0.78600000000000003</v>
      </c>
      <c r="F14" s="73">
        <v>0.80800000000000005</v>
      </c>
      <c r="G14" s="73">
        <v>0.82</v>
      </c>
      <c r="H14" s="73">
        <v>0.83</v>
      </c>
      <c r="I14" s="73">
        <v>0.83699999999999997</v>
      </c>
      <c r="J14" s="73">
        <v>0.84299999999999997</v>
      </c>
      <c r="K14" s="74">
        <v>0.84799999999999998</v>
      </c>
      <c r="L14" s="10"/>
      <c r="M14" s="394">
        <v>10</v>
      </c>
      <c r="N14" s="463">
        <v>10</v>
      </c>
      <c r="O14" s="148">
        <f>Interpolate2DTable(M14,N14,A4:K34)</f>
        <v>0.78600000000000003</v>
      </c>
      <c r="P14" s="67"/>
      <c r="Q14" s="67"/>
      <c r="R14" s="67"/>
      <c r="S14" s="67"/>
      <c r="T14" s="67"/>
      <c r="U14" s="67"/>
      <c r="V14" s="67"/>
      <c r="W14" s="67"/>
      <c r="X14" s="1"/>
      <c r="Y14" s="1"/>
    </row>
    <row r="15" spans="1:25" ht="24.9" customHeight="1" x14ac:dyDescent="0.3">
      <c r="A15" s="57">
        <v>11</v>
      </c>
      <c r="B15" s="72">
        <v>0.70299999999999996</v>
      </c>
      <c r="C15" s="73">
        <v>0.72499999999999998</v>
      </c>
      <c r="D15" s="73">
        <v>0.74199999999999999</v>
      </c>
      <c r="E15" s="73">
        <v>0.75800000000000001</v>
      </c>
      <c r="F15" s="73">
        <v>0.78100000000000003</v>
      </c>
      <c r="G15" s="73">
        <v>0.79500000000000004</v>
      </c>
      <c r="H15" s="73">
        <v>0.80700000000000005</v>
      </c>
      <c r="I15" s="73">
        <v>0.81499999999999995</v>
      </c>
      <c r="J15" s="73">
        <v>0.82</v>
      </c>
      <c r="K15" s="74">
        <v>0.82599999999999996</v>
      </c>
      <c r="L15" s="10"/>
      <c r="M15" s="35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1"/>
      <c r="Y15" s="1"/>
    </row>
    <row r="16" spans="1:25" ht="16.649999999999999" customHeight="1" x14ac:dyDescent="0.3">
      <c r="A16" s="57">
        <v>12</v>
      </c>
      <c r="B16" s="72">
        <v>0.67200000000000004</v>
      </c>
      <c r="C16" s="73">
        <v>0.69499999999999995</v>
      </c>
      <c r="D16" s="73">
        <v>0.71399999999999997</v>
      </c>
      <c r="E16" s="73">
        <v>0.72899999999999998</v>
      </c>
      <c r="F16" s="73">
        <v>0.755</v>
      </c>
      <c r="G16" s="73">
        <v>0.77200000000000002</v>
      </c>
      <c r="H16" s="73">
        <v>0.78400000000000003</v>
      </c>
      <c r="I16" s="73">
        <v>0.79300000000000004</v>
      </c>
      <c r="J16" s="73">
        <v>0.8</v>
      </c>
      <c r="K16" s="74">
        <v>0.80500000000000005</v>
      </c>
      <c r="L16" s="10"/>
      <c r="M16" s="35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1"/>
      <c r="Y16" s="1"/>
    </row>
    <row r="17" spans="1:25" ht="16.649999999999999" customHeight="1" x14ac:dyDescent="0.3">
      <c r="A17" s="57">
        <v>13</v>
      </c>
      <c r="B17" s="72">
        <v>0.64400000000000002</v>
      </c>
      <c r="C17" s="73">
        <v>0.66700000000000004</v>
      </c>
      <c r="D17" s="73">
        <v>0.68600000000000005</v>
      </c>
      <c r="E17" s="73">
        <v>0.70299999999999996</v>
      </c>
      <c r="F17" s="73">
        <v>0.73</v>
      </c>
      <c r="G17" s="73">
        <v>0.748</v>
      </c>
      <c r="H17" s="73">
        <v>0.76100000000000001</v>
      </c>
      <c r="I17" s="73">
        <v>0.77100000000000002</v>
      </c>
      <c r="J17" s="73">
        <v>0.77800000000000002</v>
      </c>
      <c r="K17" s="74">
        <v>0.78400000000000003</v>
      </c>
      <c r="L17" s="10"/>
      <c r="M17" s="35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1"/>
      <c r="Y17" s="1"/>
    </row>
    <row r="18" spans="1:25" ht="16.649999999999999" customHeight="1" x14ac:dyDescent="0.3">
      <c r="A18" s="57">
        <v>14</v>
      </c>
      <c r="B18" s="72">
        <v>0.61599999999999999</v>
      </c>
      <c r="C18" s="73">
        <v>0.64</v>
      </c>
      <c r="D18" s="73">
        <v>0.65900000000000003</v>
      </c>
      <c r="E18" s="73">
        <v>0.67600000000000005</v>
      </c>
      <c r="F18" s="73">
        <v>0.70499999999999996</v>
      </c>
      <c r="G18" s="73">
        <v>0.72299999999999998</v>
      </c>
      <c r="H18" s="73">
        <v>0.73699999999999999</v>
      </c>
      <c r="I18" s="73">
        <v>0.747</v>
      </c>
      <c r="J18" s="73">
        <v>0.755</v>
      </c>
      <c r="K18" s="74">
        <v>0.76100000000000001</v>
      </c>
      <c r="L18" s="10"/>
      <c r="M18" s="35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1"/>
      <c r="Y18" s="1"/>
    </row>
    <row r="19" spans="1:25" ht="16.649999999999999" customHeight="1" x14ac:dyDescent="0.3">
      <c r="A19" s="57">
        <v>15</v>
      </c>
      <c r="B19" s="72">
        <v>0.59099999999999997</v>
      </c>
      <c r="C19" s="73">
        <v>0.61399999999999999</v>
      </c>
      <c r="D19" s="73">
        <v>0.63300000000000001</v>
      </c>
      <c r="E19" s="73">
        <v>0.65</v>
      </c>
      <c r="F19" s="73">
        <v>0.68100000000000005</v>
      </c>
      <c r="G19" s="73">
        <v>0.70099999999999996</v>
      </c>
      <c r="H19" s="73">
        <v>0.71499999999999997</v>
      </c>
      <c r="I19" s="73">
        <v>0.72599999999999998</v>
      </c>
      <c r="J19" s="73">
        <v>0.73399999999999999</v>
      </c>
      <c r="K19" s="74">
        <v>0.74099999999999999</v>
      </c>
      <c r="L19" s="10"/>
      <c r="M19" s="35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1"/>
      <c r="Y19" s="1"/>
    </row>
    <row r="20" spans="1:25" ht="24.9" customHeight="1" x14ac:dyDescent="0.3">
      <c r="A20" s="57">
        <v>16</v>
      </c>
      <c r="B20" s="72">
        <v>0.56499999999999995</v>
      </c>
      <c r="C20" s="73">
        <v>0.58699999999999997</v>
      </c>
      <c r="D20" s="73">
        <v>0.60699999999999998</v>
      </c>
      <c r="E20" s="73">
        <v>0.624</v>
      </c>
      <c r="F20" s="73">
        <v>0.65600000000000003</v>
      </c>
      <c r="G20" s="73">
        <v>0.67700000000000005</v>
      </c>
      <c r="H20" s="73">
        <v>0.69199999999999995</v>
      </c>
      <c r="I20" s="73">
        <v>0.70399999999999996</v>
      </c>
      <c r="J20" s="73">
        <v>0.71199999999999997</v>
      </c>
      <c r="K20" s="74">
        <v>0.72</v>
      </c>
      <c r="L20" s="10"/>
      <c r="M20" s="35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1"/>
      <c r="Y20" s="1"/>
    </row>
    <row r="21" spans="1:25" ht="16.649999999999999" customHeight="1" x14ac:dyDescent="0.3">
      <c r="A21" s="57">
        <v>17</v>
      </c>
      <c r="B21" s="72">
        <v>0.54</v>
      </c>
      <c r="C21" s="73">
        <v>0.56200000000000006</v>
      </c>
      <c r="D21" s="73">
        <v>0.58299999999999996</v>
      </c>
      <c r="E21" s="73">
        <v>0.60099999999999998</v>
      </c>
      <c r="F21" s="73">
        <v>0.63200000000000001</v>
      </c>
      <c r="G21" s="73">
        <v>0.65300000000000002</v>
      </c>
      <c r="H21" s="73">
        <v>0.67</v>
      </c>
      <c r="I21" s="73">
        <v>0.68200000000000005</v>
      </c>
      <c r="J21" s="73">
        <v>0.69199999999999995</v>
      </c>
      <c r="K21" s="74">
        <v>0.69899999999999995</v>
      </c>
      <c r="L21" s="10"/>
      <c r="M21" s="35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1"/>
      <c r="Y21" s="1"/>
    </row>
    <row r="22" spans="1:25" ht="16.649999999999999" customHeight="1" x14ac:dyDescent="0.3">
      <c r="A22" s="57">
        <v>18</v>
      </c>
      <c r="B22" s="72">
        <v>0.51600000000000001</v>
      </c>
      <c r="C22" s="73">
        <v>0.53900000000000003</v>
      </c>
      <c r="D22" s="73">
        <v>0.55900000000000005</v>
      </c>
      <c r="E22" s="73">
        <v>0.57699999999999996</v>
      </c>
      <c r="F22" s="73">
        <v>0.60799999999999998</v>
      </c>
      <c r="G22" s="73">
        <v>0.63</v>
      </c>
      <c r="H22" s="73">
        <v>0.64800000000000002</v>
      </c>
      <c r="I22" s="73">
        <v>0.66100000000000003</v>
      </c>
      <c r="J22" s="73">
        <v>0.67100000000000004</v>
      </c>
      <c r="K22" s="74">
        <v>0.67800000000000005</v>
      </c>
      <c r="L22" s="10"/>
      <c r="M22" s="35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1"/>
      <c r="Y22" s="1"/>
    </row>
    <row r="23" spans="1:25" ht="16.649999999999999" customHeight="1" x14ac:dyDescent="0.3">
      <c r="A23" s="57">
        <v>19</v>
      </c>
      <c r="B23" s="72">
        <v>0.495</v>
      </c>
      <c r="C23" s="73">
        <v>0.51600000000000001</v>
      </c>
      <c r="D23" s="73">
        <v>0.53600000000000003</v>
      </c>
      <c r="E23" s="73">
        <v>0.55400000000000005</v>
      </c>
      <c r="F23" s="73">
        <v>0.58599999999999997</v>
      </c>
      <c r="G23" s="73">
        <v>0.60799999999999998</v>
      </c>
      <c r="H23" s="73">
        <v>0.627</v>
      </c>
      <c r="I23" s="73">
        <v>0.64</v>
      </c>
      <c r="J23" s="73">
        <v>0.65</v>
      </c>
      <c r="K23" s="74">
        <v>0.65800000000000003</v>
      </c>
      <c r="L23" s="10"/>
      <c r="M23" s="35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1"/>
      <c r="Y23" s="1"/>
    </row>
    <row r="24" spans="1:25" ht="16.649999999999999" customHeight="1" x14ac:dyDescent="0.3">
      <c r="A24" s="57">
        <v>20</v>
      </c>
      <c r="B24" s="72">
        <v>0.47399999999999998</v>
      </c>
      <c r="C24" s="73">
        <v>0.49399999999999999</v>
      </c>
      <c r="D24" s="73">
        <v>0.51400000000000001</v>
      </c>
      <c r="E24" s="73">
        <v>0.53200000000000003</v>
      </c>
      <c r="F24" s="73">
        <v>0.56499999999999995</v>
      </c>
      <c r="G24" s="73">
        <v>0.58699999999999997</v>
      </c>
      <c r="H24" s="73">
        <v>0.60599999999999998</v>
      </c>
      <c r="I24" s="73">
        <v>0.62</v>
      </c>
      <c r="J24" s="73">
        <v>0.63</v>
      </c>
      <c r="K24" s="74">
        <v>0.63800000000000001</v>
      </c>
      <c r="L24" s="10"/>
      <c r="M24" s="35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1"/>
      <c r="Y24" s="1"/>
    </row>
    <row r="25" spans="1:25" ht="24.9" customHeight="1" x14ac:dyDescent="0.3">
      <c r="A25" s="57">
        <v>21</v>
      </c>
      <c r="B25" s="72">
        <v>0.45300000000000001</v>
      </c>
      <c r="C25" s="73">
        <v>0.47399999999999998</v>
      </c>
      <c r="D25" s="73">
        <v>0.49299999999999999</v>
      </c>
      <c r="E25" s="73">
        <v>0.51</v>
      </c>
      <c r="F25" s="73">
        <v>0.54400000000000004</v>
      </c>
      <c r="G25" s="73">
        <v>0.56699999999999995</v>
      </c>
      <c r="H25" s="73">
        <v>0.58599999999999997</v>
      </c>
      <c r="I25" s="73">
        <v>0.6</v>
      </c>
      <c r="J25" s="73">
        <v>0.61</v>
      </c>
      <c r="K25" s="74">
        <v>0.61799999999999999</v>
      </c>
      <c r="L25" s="10"/>
      <c r="M25" s="35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1"/>
      <c r="Y25" s="1"/>
    </row>
    <row r="26" spans="1:25" ht="16.649999999999999" customHeight="1" x14ac:dyDescent="0.3">
      <c r="A26" s="57">
        <v>22</v>
      </c>
      <c r="B26" s="72">
        <v>0.433</v>
      </c>
      <c r="C26" s="73">
        <v>0.45400000000000001</v>
      </c>
      <c r="D26" s="73">
        <v>0.47199999999999998</v>
      </c>
      <c r="E26" s="73">
        <v>0.48899999999999999</v>
      </c>
      <c r="F26" s="73">
        <v>0.52300000000000002</v>
      </c>
      <c r="G26" s="73">
        <v>0.54700000000000004</v>
      </c>
      <c r="H26" s="73">
        <v>0.56699999999999995</v>
      </c>
      <c r="I26" s="73">
        <v>0.57999999999999996</v>
      </c>
      <c r="J26" s="73">
        <v>0.59099999999999997</v>
      </c>
      <c r="K26" s="74">
        <v>0.59899999999999998</v>
      </c>
      <c r="L26" s="10"/>
      <c r="M26" s="35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1"/>
      <c r="Y26" s="1"/>
    </row>
    <row r="27" spans="1:25" ht="16.649999999999999" customHeight="1" x14ac:dyDescent="0.3">
      <c r="A27" s="57">
        <v>23</v>
      </c>
      <c r="B27" s="72">
        <v>0.41299999999999998</v>
      </c>
      <c r="C27" s="73">
        <v>0.434</v>
      </c>
      <c r="D27" s="73">
        <v>0.45300000000000001</v>
      </c>
      <c r="E27" s="73">
        <v>0.47</v>
      </c>
      <c r="F27" s="73">
        <v>0.503</v>
      </c>
      <c r="G27" s="73">
        <v>0.52700000000000002</v>
      </c>
      <c r="H27" s="73">
        <v>0.54600000000000004</v>
      </c>
      <c r="I27" s="73">
        <v>0.56100000000000005</v>
      </c>
      <c r="J27" s="73">
        <v>0.57199999999999995</v>
      </c>
      <c r="K27" s="74">
        <v>0.57999999999999996</v>
      </c>
      <c r="L27" s="10"/>
      <c r="M27" s="35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1"/>
      <c r="Y27" s="1"/>
    </row>
    <row r="28" spans="1:25" ht="16.649999999999999" customHeight="1" x14ac:dyDescent="0.3">
      <c r="A28" s="57">
        <v>24</v>
      </c>
      <c r="B28" s="72">
        <v>0.39600000000000002</v>
      </c>
      <c r="C28" s="73">
        <v>0.41699999999999998</v>
      </c>
      <c r="D28" s="73">
        <v>0.435</v>
      </c>
      <c r="E28" s="73">
        <v>0.45200000000000001</v>
      </c>
      <c r="F28" s="73">
        <v>0.48399999999999999</v>
      </c>
      <c r="G28" s="73">
        <v>0.50800000000000001</v>
      </c>
      <c r="H28" s="73">
        <v>0.52800000000000002</v>
      </c>
      <c r="I28" s="73">
        <v>0.54300000000000004</v>
      </c>
      <c r="J28" s="73">
        <v>0.55400000000000005</v>
      </c>
      <c r="K28" s="74">
        <v>0.56299999999999994</v>
      </c>
      <c r="L28" s="10"/>
      <c r="M28" s="35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1"/>
      <c r="Y28" s="1"/>
    </row>
    <row r="29" spans="1:25" ht="16.649999999999999" customHeight="1" x14ac:dyDescent="0.3">
      <c r="A29" s="57">
        <v>25</v>
      </c>
      <c r="B29" s="72">
        <v>0.378</v>
      </c>
      <c r="C29" s="73">
        <v>0.39900000000000002</v>
      </c>
      <c r="D29" s="73">
        <v>0.41699999999999998</v>
      </c>
      <c r="E29" s="73">
        <v>0.433</v>
      </c>
      <c r="F29" s="73">
        <v>0.46600000000000003</v>
      </c>
      <c r="G29" s="73">
        <v>0.49</v>
      </c>
      <c r="H29" s="73">
        <v>0.51</v>
      </c>
      <c r="I29" s="73">
        <v>0.52500000000000002</v>
      </c>
      <c r="J29" s="73">
        <v>0.53600000000000003</v>
      </c>
      <c r="K29" s="74">
        <v>0.54500000000000004</v>
      </c>
      <c r="L29" s="10"/>
      <c r="M29" s="35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1"/>
      <c r="Y29" s="1"/>
    </row>
    <row r="30" spans="1:25" ht="24.9" customHeight="1" x14ac:dyDescent="0.3">
      <c r="A30" s="57">
        <v>26</v>
      </c>
      <c r="B30" s="72">
        <v>0.36299999999999999</v>
      </c>
      <c r="C30" s="73">
        <v>0.38200000000000001</v>
      </c>
      <c r="D30" s="73">
        <v>0.4</v>
      </c>
      <c r="E30" s="73">
        <v>0.41599999999999998</v>
      </c>
      <c r="F30" s="73">
        <v>0.44800000000000001</v>
      </c>
      <c r="G30" s="73">
        <v>0.47199999999999998</v>
      </c>
      <c r="H30" s="73">
        <v>0.49199999999999999</v>
      </c>
      <c r="I30" s="73">
        <v>0.50600000000000001</v>
      </c>
      <c r="J30" s="73">
        <v>0.51800000000000002</v>
      </c>
      <c r="K30" s="74">
        <v>0.52700000000000002</v>
      </c>
      <c r="L30" s="10"/>
      <c r="M30" s="35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1"/>
      <c r="Y30" s="1"/>
    </row>
    <row r="31" spans="1:25" s="36" customFormat="1" ht="16.649999999999999" customHeight="1" x14ac:dyDescent="0.3">
      <c r="A31" s="57">
        <v>27</v>
      </c>
      <c r="B31" s="72">
        <v>0.34599999999999997</v>
      </c>
      <c r="C31" s="73">
        <v>0.36599999999999999</v>
      </c>
      <c r="D31" s="73">
        <v>0.38300000000000001</v>
      </c>
      <c r="E31" s="73">
        <v>0.39900000000000002</v>
      </c>
      <c r="F31" s="73">
        <v>0.43</v>
      </c>
      <c r="G31" s="73">
        <v>0.45400000000000001</v>
      </c>
      <c r="H31" s="73">
        <v>0.47399999999999998</v>
      </c>
      <c r="I31" s="73">
        <v>0.48899999999999999</v>
      </c>
      <c r="J31" s="73">
        <v>0.5</v>
      </c>
      <c r="K31" s="74">
        <v>0.51</v>
      </c>
      <c r="L31" s="60"/>
      <c r="M31" s="69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5"/>
      <c r="Y31" s="5"/>
    </row>
    <row r="32" spans="1:25" s="36" customFormat="1" ht="16.649999999999999" customHeight="1" x14ac:dyDescent="0.3">
      <c r="A32" s="57">
        <v>28</v>
      </c>
      <c r="B32" s="72">
        <v>0.33400000000000002</v>
      </c>
      <c r="C32" s="73">
        <v>0.35099999999999998</v>
      </c>
      <c r="D32" s="73">
        <v>0.36699999999999999</v>
      </c>
      <c r="E32" s="73">
        <v>0.38300000000000001</v>
      </c>
      <c r="F32" s="73">
        <v>0.41499999999999998</v>
      </c>
      <c r="G32" s="73">
        <v>0.439</v>
      </c>
      <c r="H32" s="73">
        <v>0.45800000000000002</v>
      </c>
      <c r="I32" s="73">
        <v>0.47299999999999998</v>
      </c>
      <c r="J32" s="73">
        <v>0.48399999999999999</v>
      </c>
      <c r="K32" s="74">
        <v>0.49299999999999999</v>
      </c>
      <c r="L32" s="60"/>
      <c r="M32" s="69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5"/>
      <c r="Y32" s="5"/>
    </row>
    <row r="33" spans="1:25" s="36" customFormat="1" ht="16.649999999999999" customHeight="1" x14ac:dyDescent="0.3">
      <c r="A33" s="57">
        <v>29</v>
      </c>
      <c r="B33" s="72">
        <v>0.31900000000000001</v>
      </c>
      <c r="C33" s="73">
        <v>0.33700000000000002</v>
      </c>
      <c r="D33" s="73">
        <v>0.35199999999999998</v>
      </c>
      <c r="E33" s="73">
        <v>0.36699999999999999</v>
      </c>
      <c r="F33" s="73">
        <v>0.39800000000000002</v>
      </c>
      <c r="G33" s="73">
        <v>0.42299999999999999</v>
      </c>
      <c r="H33" s="73">
        <v>0.442</v>
      </c>
      <c r="I33" s="73">
        <v>0.45700000000000002</v>
      </c>
      <c r="J33" s="73">
        <v>0.46800000000000003</v>
      </c>
      <c r="K33" s="74">
        <v>0.47699999999999998</v>
      </c>
      <c r="L33" s="60"/>
      <c r="M33" s="69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5"/>
      <c r="Y33" s="5"/>
    </row>
    <row r="34" spans="1:25" s="36" customFormat="1" ht="16.649999999999999" customHeight="1" thickBot="1" x14ac:dyDescent="0.35">
      <c r="A34" s="59">
        <v>30</v>
      </c>
      <c r="B34" s="75">
        <v>0.30499999999999999</v>
      </c>
      <c r="C34" s="76">
        <v>0.32200000000000001</v>
      </c>
      <c r="D34" s="76">
        <v>0.33800000000000002</v>
      </c>
      <c r="E34" s="76">
        <v>0.35199999999999998</v>
      </c>
      <c r="F34" s="76">
        <v>0.38200000000000001</v>
      </c>
      <c r="G34" s="76">
        <v>0.40600000000000003</v>
      </c>
      <c r="H34" s="76">
        <v>0.42499999999999999</v>
      </c>
      <c r="I34" s="76">
        <v>0.441</v>
      </c>
      <c r="J34" s="76">
        <v>0.45200000000000001</v>
      </c>
      <c r="K34" s="77">
        <v>0.46200000000000002</v>
      </c>
      <c r="L34" s="60"/>
      <c r="M34" s="69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5"/>
      <c r="Y34" s="5"/>
    </row>
    <row r="35" spans="1:25" ht="17.25" customHeight="1" thickTop="1" x14ac:dyDescent="0.3">
      <c r="A35" s="10"/>
      <c r="B35" s="10"/>
      <c r="C35" s="10"/>
      <c r="D35" s="10"/>
      <c r="E35" s="24"/>
      <c r="F35" s="70"/>
      <c r="G35" s="70"/>
      <c r="H35" s="70"/>
      <c r="I35" s="70"/>
      <c r="J35" s="70"/>
      <c r="K35" s="70"/>
      <c r="L35" s="10"/>
      <c r="M35" s="35"/>
      <c r="N35" s="3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7.25" customHeight="1" x14ac:dyDescent="0.3">
      <c r="A36" s="10"/>
      <c r="B36" s="10"/>
      <c r="C36" s="10"/>
      <c r="D36" s="10"/>
      <c r="E36" s="24"/>
      <c r="F36" s="70"/>
      <c r="G36" s="70"/>
      <c r="H36" s="70"/>
      <c r="I36" s="70"/>
      <c r="J36" s="70"/>
      <c r="K36" s="70"/>
      <c r="L36" s="10"/>
      <c r="M36" s="35"/>
      <c r="N36" s="39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7.25" customHeight="1" x14ac:dyDescent="0.3">
      <c r="A37" s="10"/>
      <c r="B37" s="10"/>
      <c r="C37" s="10"/>
      <c r="D37" s="10"/>
      <c r="E37" s="24"/>
      <c r="F37" s="24"/>
      <c r="G37" s="24"/>
      <c r="H37" s="24"/>
      <c r="I37" s="24"/>
      <c r="J37" s="24"/>
      <c r="K37" s="24"/>
      <c r="L37" s="10"/>
      <c r="M37" s="35"/>
      <c r="N37" s="39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7.25" customHeight="1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35"/>
      <c r="N38" s="39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7.25" customHeight="1" x14ac:dyDescent="0.3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35"/>
      <c r="N39" s="3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7.25" customHeight="1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35"/>
      <c r="N40" s="39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35"/>
      <c r="N41" s="39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35"/>
      <c r="N42" s="39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35"/>
      <c r="N43" s="39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35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">
      <c r="A46" s="6"/>
      <c r="B46" s="6"/>
      <c r="C46" s="6"/>
      <c r="D46" s="6"/>
      <c r="E46" s="6"/>
      <c r="F46" s="6"/>
      <c r="G46" s="6"/>
      <c r="H46" s="10"/>
      <c r="I46" s="10"/>
      <c r="J46" s="10"/>
      <c r="K46" s="10"/>
      <c r="L46" s="6"/>
      <c r="M46" s="39"/>
      <c r="N46" s="39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">
      <c r="A47" s="6"/>
      <c r="B47" s="6"/>
      <c r="C47" s="6"/>
      <c r="D47" s="6"/>
      <c r="E47" s="6"/>
      <c r="F47" s="6"/>
      <c r="G47" s="6"/>
      <c r="H47" s="10"/>
      <c r="I47" s="10"/>
      <c r="J47" s="10"/>
      <c r="K47" s="10"/>
      <c r="L47" s="6"/>
      <c r="M47" s="39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">
      <c r="A48" s="6"/>
      <c r="B48" s="6"/>
      <c r="C48" s="6"/>
      <c r="D48" s="6"/>
      <c r="E48" s="6"/>
      <c r="F48" s="6"/>
      <c r="G48" s="6"/>
      <c r="H48" s="10"/>
      <c r="I48" s="10"/>
      <c r="J48" s="10"/>
      <c r="K48" s="10"/>
      <c r="L48" s="6"/>
      <c r="M48" s="39"/>
      <c r="N48" s="39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6"/>
      <c r="B49" s="6"/>
      <c r="C49" s="6"/>
      <c r="D49" s="6"/>
      <c r="E49" s="6"/>
      <c r="F49" s="6"/>
      <c r="G49" s="6"/>
      <c r="H49" s="10"/>
      <c r="I49" s="10"/>
      <c r="J49" s="10"/>
      <c r="K49" s="10"/>
      <c r="L49" s="6"/>
      <c r="M49" s="39"/>
      <c r="N49" s="39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6"/>
      <c r="B50" s="6"/>
      <c r="C50" s="6"/>
      <c r="D50" s="6"/>
      <c r="E50" s="6"/>
      <c r="F50" s="6"/>
      <c r="G50" s="6"/>
      <c r="H50" s="10"/>
      <c r="I50" s="10"/>
      <c r="J50" s="10"/>
      <c r="K50" s="10"/>
      <c r="L50" s="6"/>
      <c r="M50" s="39"/>
      <c r="N50" s="39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3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3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3">
      <c r="H53" s="10"/>
      <c r="I53" s="10"/>
      <c r="J53" s="10"/>
      <c r="K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3">
      <c r="H54" s="10"/>
      <c r="I54" s="10"/>
      <c r="J54" s="10"/>
      <c r="K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3">
      <c r="H55" s="10"/>
      <c r="I55" s="10"/>
      <c r="J55" s="10"/>
      <c r="K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3">
      <c r="H56" s="10"/>
      <c r="I56" s="10"/>
      <c r="J56" s="10"/>
      <c r="K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3">
      <c r="H57" s="10"/>
      <c r="I57" s="10"/>
      <c r="J57" s="10"/>
      <c r="K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3">
      <c r="H58" s="1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3">
      <c r="H59" s="10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3">
      <c r="H60" s="10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3">
      <c r="H61" s="10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3">
      <c r="H62" s="10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3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3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3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3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3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3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3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3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3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3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3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3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3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3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3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3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3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3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3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3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3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3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3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3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3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3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3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3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3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3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3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3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3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3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3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3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3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3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3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3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3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3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3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3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3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3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3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3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3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3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3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3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3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3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3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3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3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3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3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3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3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3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3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3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3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3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3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3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3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3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3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3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3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3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3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3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3:25" x14ac:dyDescent="0.3"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3:25" x14ac:dyDescent="0.3"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3:25" x14ac:dyDescent="0.3"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3:25" x14ac:dyDescent="0.3"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3:25" x14ac:dyDescent="0.3"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</sheetData>
  <mergeCells count="4">
    <mergeCell ref="A1:K1"/>
    <mergeCell ref="A2:K2"/>
    <mergeCell ref="M12:O12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Q325"/>
  <sheetViews>
    <sheetView showGridLines="0" workbookViewId="0">
      <selection activeCell="A2" sqref="A2:K2"/>
    </sheetView>
  </sheetViews>
  <sheetFormatPr defaultRowHeight="12.45" x14ac:dyDescent="0.3"/>
  <cols>
    <col min="1" max="1" width="9.84375" customWidth="1"/>
    <col min="2" max="11" width="7.69140625" customWidth="1"/>
  </cols>
  <sheetData>
    <row r="1" spans="1:15" s="223" customFormat="1" ht="30" customHeight="1" x14ac:dyDescent="0.4">
      <c r="A1" s="523" t="s">
        <v>20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220"/>
    </row>
    <row r="2" spans="1:15" ht="24" customHeight="1" thickBot="1" x14ac:dyDescent="0.4">
      <c r="A2" s="612" t="s">
        <v>130</v>
      </c>
      <c r="B2" s="613"/>
      <c r="C2" s="613"/>
      <c r="D2" s="613"/>
      <c r="E2" s="613"/>
      <c r="F2" s="613"/>
      <c r="G2" s="613"/>
      <c r="H2" s="613"/>
      <c r="I2" s="613"/>
      <c r="J2" s="613"/>
      <c r="K2" s="613"/>
      <c r="L2" s="210"/>
      <c r="M2" s="213"/>
      <c r="N2" s="213"/>
      <c r="O2" s="213"/>
    </row>
    <row r="3" spans="1:15" ht="21.9" customHeight="1" thickTop="1" thickBot="1" x14ac:dyDescent="0.35">
      <c r="A3" s="58" t="s">
        <v>37</v>
      </c>
      <c r="B3" s="101">
        <v>4</v>
      </c>
      <c r="C3" s="102">
        <v>6</v>
      </c>
      <c r="D3" s="102">
        <v>8</v>
      </c>
      <c r="E3" s="102">
        <v>10</v>
      </c>
      <c r="F3" s="102">
        <v>15</v>
      </c>
      <c r="G3" s="102">
        <v>20</v>
      </c>
      <c r="H3" s="102">
        <v>25</v>
      </c>
      <c r="I3" s="102">
        <v>30</v>
      </c>
      <c r="J3" s="102">
        <v>35</v>
      </c>
      <c r="K3" s="103">
        <v>40</v>
      </c>
      <c r="L3" s="6"/>
    </row>
    <row r="4" spans="1:15" ht="15" customHeight="1" thickTop="1" x14ac:dyDescent="0.3">
      <c r="A4" s="38" t="s">
        <v>3</v>
      </c>
      <c r="B4" s="99">
        <v>4</v>
      </c>
      <c r="C4" s="85">
        <v>6</v>
      </c>
      <c r="D4" s="85">
        <v>8</v>
      </c>
      <c r="E4" s="85">
        <v>10</v>
      </c>
      <c r="F4" s="85">
        <v>15</v>
      </c>
      <c r="G4" s="85">
        <v>20</v>
      </c>
      <c r="H4" s="85">
        <v>25</v>
      </c>
      <c r="I4" s="85">
        <v>30</v>
      </c>
      <c r="J4" s="85">
        <v>35</v>
      </c>
      <c r="K4" s="100">
        <v>40</v>
      </c>
      <c r="L4" s="10"/>
    </row>
    <row r="5" spans="1:15" ht="16.649999999999999" customHeight="1" x14ac:dyDescent="0.3">
      <c r="A5" s="56">
        <v>2.2999999999999998</v>
      </c>
      <c r="B5" s="22">
        <v>100</v>
      </c>
      <c r="C5" s="23">
        <v>100</v>
      </c>
      <c r="D5" s="23">
        <v>100</v>
      </c>
      <c r="E5" s="23">
        <v>100</v>
      </c>
      <c r="F5" s="23">
        <v>100</v>
      </c>
      <c r="G5" s="23">
        <v>100</v>
      </c>
      <c r="H5" s="23">
        <v>100</v>
      </c>
      <c r="I5" s="23">
        <v>100</v>
      </c>
      <c r="J5" s="23">
        <v>100</v>
      </c>
      <c r="K5" s="29">
        <v>100</v>
      </c>
      <c r="L5" s="10"/>
    </row>
    <row r="6" spans="1:15" ht="16.649999999999999" customHeight="1" x14ac:dyDescent="0.3">
      <c r="A6" s="57">
        <v>3</v>
      </c>
      <c r="B6" s="22">
        <v>98.5</v>
      </c>
      <c r="C6" s="23">
        <v>98.6</v>
      </c>
      <c r="D6" s="23">
        <v>98.5</v>
      </c>
      <c r="E6" s="23">
        <v>98.5</v>
      </c>
      <c r="F6" s="23">
        <v>98.4</v>
      </c>
      <c r="G6" s="23">
        <v>98.3</v>
      </c>
      <c r="H6" s="23">
        <v>98.3</v>
      </c>
      <c r="I6" s="23">
        <v>98.3</v>
      </c>
      <c r="J6" s="23">
        <v>98.3</v>
      </c>
      <c r="K6" s="29">
        <v>98.3</v>
      </c>
      <c r="L6" s="10"/>
    </row>
    <row r="7" spans="1:15" ht="16.649999999999999" customHeight="1" x14ac:dyDescent="0.3">
      <c r="A7" s="57">
        <v>4</v>
      </c>
      <c r="B7" s="22">
        <v>95</v>
      </c>
      <c r="C7" s="23">
        <v>95.2</v>
      </c>
      <c r="D7" s="23">
        <v>95.3</v>
      </c>
      <c r="E7" s="23">
        <v>95.2</v>
      </c>
      <c r="F7" s="23">
        <v>95.1</v>
      </c>
      <c r="G7" s="23">
        <v>95</v>
      </c>
      <c r="H7" s="23">
        <v>95</v>
      </c>
      <c r="I7" s="23">
        <v>95</v>
      </c>
      <c r="J7" s="23">
        <v>95</v>
      </c>
      <c r="K7" s="29">
        <v>95.1</v>
      </c>
      <c r="L7" s="10"/>
    </row>
    <row r="8" spans="1:15" ht="16.649999999999999" customHeight="1" x14ac:dyDescent="0.3">
      <c r="A8" s="57">
        <v>5</v>
      </c>
      <c r="B8" s="22">
        <v>90.6</v>
      </c>
      <c r="C8" s="23">
        <v>91.1</v>
      </c>
      <c r="D8" s="23">
        <v>91.3</v>
      </c>
      <c r="E8" s="23">
        <v>91.4</v>
      </c>
      <c r="F8" s="23">
        <v>91.4</v>
      </c>
      <c r="G8" s="23">
        <v>91.4</v>
      </c>
      <c r="H8" s="23">
        <v>91.5</v>
      </c>
      <c r="I8" s="23">
        <v>91.6</v>
      </c>
      <c r="J8" s="23">
        <v>91.7</v>
      </c>
      <c r="K8" s="29">
        <v>91.8</v>
      </c>
      <c r="L8" s="10"/>
    </row>
    <row r="9" spans="1:15" ht="24.9" customHeight="1" x14ac:dyDescent="0.3">
      <c r="A9" s="57">
        <v>6</v>
      </c>
      <c r="B9" s="22">
        <v>86.2</v>
      </c>
      <c r="C9" s="23">
        <v>86.9</v>
      </c>
      <c r="D9" s="23">
        <v>87.4</v>
      </c>
      <c r="E9" s="23">
        <v>87.6</v>
      </c>
      <c r="F9" s="23">
        <v>87.8</v>
      </c>
      <c r="G9" s="23">
        <v>87.9</v>
      </c>
      <c r="H9" s="23">
        <v>88</v>
      </c>
      <c r="I9" s="23">
        <v>88.2</v>
      </c>
      <c r="J9" s="23">
        <v>88.4</v>
      </c>
      <c r="K9" s="29">
        <v>88.5</v>
      </c>
      <c r="L9" s="10"/>
      <c r="M9" s="617" t="s">
        <v>27</v>
      </c>
      <c r="N9" s="618"/>
      <c r="O9" s="618"/>
    </row>
    <row r="10" spans="1:15" ht="16.649999999999999" customHeight="1" thickBot="1" x14ac:dyDescent="0.35">
      <c r="A10" s="57">
        <v>7</v>
      </c>
      <c r="B10" s="22">
        <v>82</v>
      </c>
      <c r="C10" s="23">
        <v>82.9</v>
      </c>
      <c r="D10" s="23">
        <v>83.5</v>
      </c>
      <c r="E10" s="23">
        <v>83.8</v>
      </c>
      <c r="F10" s="23">
        <v>84.2</v>
      </c>
      <c r="G10" s="23">
        <v>84.4</v>
      </c>
      <c r="H10" s="23">
        <v>84.7</v>
      </c>
      <c r="I10" s="23">
        <v>84.9</v>
      </c>
      <c r="J10" s="23">
        <v>85.1</v>
      </c>
      <c r="K10" s="29">
        <v>85.3</v>
      </c>
      <c r="L10" s="10"/>
    </row>
    <row r="11" spans="1:15" ht="16.649999999999999" customHeight="1" thickBot="1" x14ac:dyDescent="0.35">
      <c r="A11" s="57">
        <v>8</v>
      </c>
      <c r="B11" s="22">
        <v>77.8</v>
      </c>
      <c r="C11" s="23">
        <v>78.900000000000006</v>
      </c>
      <c r="D11" s="23">
        <v>79.599999999999994</v>
      </c>
      <c r="E11" s="23">
        <v>80</v>
      </c>
      <c r="F11" s="23">
        <v>80.599999999999994</v>
      </c>
      <c r="G11" s="23">
        <v>81</v>
      </c>
      <c r="H11" s="23">
        <v>81.3</v>
      </c>
      <c r="I11" s="23">
        <v>81.599999999999994</v>
      </c>
      <c r="J11" s="23">
        <v>81.8</v>
      </c>
      <c r="K11" s="29">
        <v>82</v>
      </c>
      <c r="L11" s="10"/>
      <c r="M11" s="614" t="s">
        <v>18</v>
      </c>
      <c r="N11" s="645"/>
      <c r="O11" s="646"/>
    </row>
    <row r="12" spans="1:15" ht="16.649999999999999" customHeight="1" thickBot="1" x14ac:dyDescent="0.35">
      <c r="A12" s="57">
        <v>9</v>
      </c>
      <c r="B12" s="22">
        <v>73.900000000000006</v>
      </c>
      <c r="C12" s="23">
        <v>75.099999999999994</v>
      </c>
      <c r="D12" s="23">
        <v>75.900000000000006</v>
      </c>
      <c r="E12" s="23">
        <v>76.400000000000006</v>
      </c>
      <c r="F12" s="23">
        <v>77.2</v>
      </c>
      <c r="G12" s="23">
        <v>77.7</v>
      </c>
      <c r="H12" s="23">
        <v>78.099999999999994</v>
      </c>
      <c r="I12" s="23">
        <v>78.400000000000006</v>
      </c>
      <c r="J12" s="23">
        <v>78.7</v>
      </c>
      <c r="K12" s="29">
        <v>79</v>
      </c>
      <c r="L12" s="10"/>
      <c r="M12" s="155" t="s">
        <v>2</v>
      </c>
      <c r="N12" s="147" t="s">
        <v>39</v>
      </c>
      <c r="O12" s="148" t="s">
        <v>24</v>
      </c>
    </row>
    <row r="13" spans="1:15" ht="16.649999999999999" customHeight="1" thickBot="1" x14ac:dyDescent="0.35">
      <c r="A13" s="57">
        <v>10</v>
      </c>
      <c r="B13" s="22">
        <v>70.2</v>
      </c>
      <c r="C13" s="23">
        <v>71.5</v>
      </c>
      <c r="D13" s="23">
        <v>72.400000000000006</v>
      </c>
      <c r="E13" s="23">
        <v>73</v>
      </c>
      <c r="F13" s="23">
        <v>74</v>
      </c>
      <c r="G13" s="23">
        <v>74.599999999999994</v>
      </c>
      <c r="H13" s="23">
        <v>75.099999999999994</v>
      </c>
      <c r="I13" s="23">
        <v>75.5</v>
      </c>
      <c r="J13" s="23">
        <v>75.8</v>
      </c>
      <c r="K13" s="29">
        <v>76.099999999999994</v>
      </c>
      <c r="L13" s="10"/>
      <c r="M13" s="394">
        <v>10</v>
      </c>
      <c r="N13" s="463">
        <v>10</v>
      </c>
      <c r="O13" s="149">
        <f>Interpolate2DTable(M13,N13,A4:K33)</f>
        <v>73</v>
      </c>
    </row>
    <row r="14" spans="1:15" ht="24.9" customHeight="1" x14ac:dyDescent="0.3">
      <c r="A14" s="57">
        <v>11</v>
      </c>
      <c r="B14" s="22">
        <v>66.599999999999994</v>
      </c>
      <c r="C14" s="23">
        <v>68</v>
      </c>
      <c r="D14" s="23">
        <v>69</v>
      </c>
      <c r="E14" s="23">
        <v>69.7</v>
      </c>
      <c r="F14" s="23">
        <v>70.8</v>
      </c>
      <c r="G14" s="23">
        <v>71.5</v>
      </c>
      <c r="H14" s="23">
        <v>72.099999999999994</v>
      </c>
      <c r="I14" s="23">
        <v>72.5</v>
      </c>
      <c r="J14" s="23">
        <v>72.8</v>
      </c>
      <c r="K14" s="29">
        <v>73.099999999999994</v>
      </c>
      <c r="L14" s="10"/>
    </row>
    <row r="15" spans="1:15" ht="16.649999999999999" customHeight="1" x14ac:dyDescent="0.3">
      <c r="A15" s="57">
        <v>12</v>
      </c>
      <c r="B15" s="22">
        <v>63.2</v>
      </c>
      <c r="C15" s="23">
        <v>64.599999999999994</v>
      </c>
      <c r="D15" s="23">
        <v>65.7</v>
      </c>
      <c r="E15" s="23">
        <v>66.5</v>
      </c>
      <c r="F15" s="23">
        <v>67.7</v>
      </c>
      <c r="G15" s="23">
        <v>68.5</v>
      </c>
      <c r="H15" s="23">
        <v>69.2</v>
      </c>
      <c r="I15" s="23">
        <v>69.599999999999994</v>
      </c>
      <c r="J15" s="23">
        <v>70</v>
      </c>
      <c r="K15" s="29">
        <v>70.3</v>
      </c>
      <c r="L15" s="10"/>
      <c r="N15" s="568"/>
      <c r="O15" s="581"/>
    </row>
    <row r="16" spans="1:15" ht="16.649999999999999" customHeight="1" x14ac:dyDescent="0.3">
      <c r="A16" s="57">
        <v>13</v>
      </c>
      <c r="B16" s="22">
        <v>60.1</v>
      </c>
      <c r="C16" s="23">
        <v>61.5</v>
      </c>
      <c r="D16" s="23">
        <v>62.6</v>
      </c>
      <c r="E16" s="23">
        <v>63.5</v>
      </c>
      <c r="F16" s="23">
        <v>64.900000000000006</v>
      </c>
      <c r="G16" s="23">
        <v>65.7</v>
      </c>
      <c r="H16" s="23">
        <v>66.3</v>
      </c>
      <c r="I16" s="23">
        <v>66.900000000000006</v>
      </c>
      <c r="J16" s="23">
        <v>67.3</v>
      </c>
      <c r="K16" s="29">
        <v>67.599999999999994</v>
      </c>
      <c r="L16" s="10"/>
      <c r="N16" s="159"/>
      <c r="O16" s="159"/>
    </row>
    <row r="17" spans="1:17" ht="16.649999999999999" customHeight="1" x14ac:dyDescent="0.3">
      <c r="A17" s="57">
        <v>14</v>
      </c>
      <c r="B17" s="22">
        <v>57</v>
      </c>
      <c r="C17" s="23">
        <v>58.5</v>
      </c>
      <c r="D17" s="23">
        <v>59.7</v>
      </c>
      <c r="E17" s="23">
        <v>60.6</v>
      </c>
      <c r="F17" s="23">
        <v>62</v>
      </c>
      <c r="G17" s="23">
        <v>62.9</v>
      </c>
      <c r="H17" s="23">
        <v>63.6</v>
      </c>
      <c r="I17" s="23">
        <v>64.2</v>
      </c>
      <c r="J17" s="23">
        <v>64.7</v>
      </c>
      <c r="K17" s="29">
        <v>65</v>
      </c>
      <c r="L17" s="10"/>
      <c r="N17" s="160"/>
      <c r="O17" s="67"/>
    </row>
    <row r="18" spans="1:17" ht="16.649999999999999" customHeight="1" x14ac:dyDescent="0.3">
      <c r="A18" s="57">
        <v>15</v>
      </c>
      <c r="B18" s="22">
        <v>54.1</v>
      </c>
      <c r="C18" s="23">
        <v>55.6</v>
      </c>
      <c r="D18" s="23">
        <v>56.8</v>
      </c>
      <c r="E18" s="23">
        <v>57.8</v>
      </c>
      <c r="F18" s="23">
        <v>59.3</v>
      </c>
      <c r="G18" s="23">
        <v>60.2</v>
      </c>
      <c r="H18" s="23">
        <v>61</v>
      </c>
      <c r="I18" s="23">
        <v>61.6</v>
      </c>
      <c r="J18" s="23">
        <v>62.1</v>
      </c>
      <c r="K18" s="29">
        <v>62.5</v>
      </c>
      <c r="L18" s="10"/>
      <c r="N18" s="1"/>
      <c r="O18" s="1"/>
    </row>
    <row r="19" spans="1:17" ht="24.9" customHeight="1" x14ac:dyDescent="0.3">
      <c r="A19" s="57">
        <v>16</v>
      </c>
      <c r="B19" s="22">
        <v>51.4</v>
      </c>
      <c r="C19" s="23">
        <v>52.9</v>
      </c>
      <c r="D19" s="23">
        <v>54.1</v>
      </c>
      <c r="E19" s="23">
        <v>55.1</v>
      </c>
      <c r="F19" s="23">
        <v>56.7</v>
      </c>
      <c r="G19" s="23">
        <v>57.7</v>
      </c>
      <c r="H19" s="23">
        <v>58.5</v>
      </c>
      <c r="I19" s="23">
        <v>59.1</v>
      </c>
      <c r="J19" s="23">
        <v>59.6</v>
      </c>
      <c r="K19" s="29">
        <v>60</v>
      </c>
      <c r="L19" s="10"/>
    </row>
    <row r="20" spans="1:17" ht="16.649999999999999" customHeight="1" x14ac:dyDescent="0.3">
      <c r="A20" s="57">
        <v>17</v>
      </c>
      <c r="B20" s="22">
        <v>48.9</v>
      </c>
      <c r="C20" s="23">
        <v>50.4</v>
      </c>
      <c r="D20" s="23">
        <v>51.6</v>
      </c>
      <c r="E20" s="23">
        <v>52.6</v>
      </c>
      <c r="F20" s="23">
        <v>54.3</v>
      </c>
      <c r="G20" s="23">
        <v>55.3</v>
      </c>
      <c r="H20" s="23">
        <v>56.1</v>
      </c>
      <c r="I20" s="23">
        <v>56.7</v>
      </c>
      <c r="J20" s="23">
        <v>57.3</v>
      </c>
      <c r="K20" s="29">
        <v>57.7</v>
      </c>
      <c r="L20" s="10"/>
    </row>
    <row r="21" spans="1:17" ht="16.649999999999999" customHeight="1" x14ac:dyDescent="0.3">
      <c r="A21" s="57">
        <v>18</v>
      </c>
      <c r="B21" s="22">
        <v>46.4</v>
      </c>
      <c r="C21" s="23">
        <v>47.9</v>
      </c>
      <c r="D21" s="23">
        <v>49.1</v>
      </c>
      <c r="E21" s="23">
        <v>50.1</v>
      </c>
      <c r="F21" s="23">
        <v>51.8</v>
      </c>
      <c r="G21" s="23">
        <v>52.9</v>
      </c>
      <c r="H21" s="23">
        <v>53.7</v>
      </c>
      <c r="I21" s="23">
        <v>54.4</v>
      </c>
      <c r="J21" s="23">
        <v>54.9</v>
      </c>
      <c r="K21" s="29">
        <v>55.3</v>
      </c>
      <c r="L21" s="10"/>
    </row>
    <row r="22" spans="1:17" ht="16.649999999999999" customHeight="1" x14ac:dyDescent="0.3">
      <c r="A22" s="57">
        <v>19</v>
      </c>
      <c r="B22" s="22">
        <v>44.1</v>
      </c>
      <c r="C22" s="23">
        <v>45.6</v>
      </c>
      <c r="D22" s="23">
        <v>46.8</v>
      </c>
      <c r="E22" s="23">
        <v>47.8</v>
      </c>
      <c r="F22" s="23">
        <v>49.5</v>
      </c>
      <c r="G22" s="23">
        <v>50.7</v>
      </c>
      <c r="H22" s="23">
        <v>51.5</v>
      </c>
      <c r="I22" s="23">
        <v>52.2</v>
      </c>
      <c r="J22" s="23">
        <v>52.7</v>
      </c>
      <c r="K22" s="29">
        <v>53.1</v>
      </c>
      <c r="L22" s="10"/>
    </row>
    <row r="23" spans="1:17" ht="16.649999999999999" customHeight="1" x14ac:dyDescent="0.3">
      <c r="A23" s="57">
        <v>20</v>
      </c>
      <c r="B23" s="22">
        <v>41.9</v>
      </c>
      <c r="C23" s="23">
        <v>43.4</v>
      </c>
      <c r="D23" s="23">
        <v>44.6</v>
      </c>
      <c r="E23" s="23">
        <v>45.6</v>
      </c>
      <c r="F23" s="23">
        <v>47.3</v>
      </c>
      <c r="G23" s="23">
        <v>48.5</v>
      </c>
      <c r="H23" s="23">
        <v>49.4</v>
      </c>
      <c r="I23" s="23">
        <v>50.1</v>
      </c>
      <c r="J23" s="23">
        <v>50.6</v>
      </c>
      <c r="K23" s="29">
        <v>50.9</v>
      </c>
      <c r="L23" s="10"/>
    </row>
    <row r="24" spans="1:17" ht="24.9" customHeight="1" x14ac:dyDescent="0.3">
      <c r="A24" s="57">
        <v>21</v>
      </c>
      <c r="B24" s="22">
        <v>39.799999999999997</v>
      </c>
      <c r="C24" s="23">
        <v>41.2</v>
      </c>
      <c r="D24" s="23">
        <v>42.4</v>
      </c>
      <c r="E24" s="23">
        <v>43.4</v>
      </c>
      <c r="F24" s="23">
        <v>45.2</v>
      </c>
      <c r="G24" s="23">
        <v>46.4</v>
      </c>
      <c r="H24" s="23">
        <v>47.3</v>
      </c>
      <c r="I24" s="23">
        <v>48</v>
      </c>
      <c r="J24" s="23">
        <v>48.5</v>
      </c>
      <c r="K24" s="29">
        <v>48.8</v>
      </c>
      <c r="L24" s="10"/>
    </row>
    <row r="25" spans="1:17" ht="16.649999999999999" customHeight="1" x14ac:dyDescent="0.3">
      <c r="A25" s="57">
        <v>22</v>
      </c>
      <c r="B25" s="22">
        <v>37.799999999999997</v>
      </c>
      <c r="C25" s="23">
        <v>39.200000000000003</v>
      </c>
      <c r="D25" s="23">
        <v>40.5</v>
      </c>
      <c r="E25" s="23">
        <v>41.4</v>
      </c>
      <c r="F25" s="23">
        <v>43.2</v>
      </c>
      <c r="G25" s="23">
        <v>44.4</v>
      </c>
      <c r="H25" s="23">
        <v>45.3</v>
      </c>
      <c r="I25" s="23">
        <v>46</v>
      </c>
      <c r="J25" s="23">
        <v>46.5</v>
      </c>
      <c r="K25" s="29">
        <v>46.8</v>
      </c>
      <c r="L25" s="10"/>
    </row>
    <row r="26" spans="1:17" ht="16.649999999999999" customHeight="1" x14ac:dyDescent="0.3">
      <c r="A26" s="57">
        <v>23</v>
      </c>
      <c r="B26" s="22">
        <v>35.9</v>
      </c>
      <c r="C26" s="23">
        <v>37.4</v>
      </c>
      <c r="D26" s="23">
        <v>38.6</v>
      </c>
      <c r="E26" s="23">
        <v>39.5</v>
      </c>
      <c r="F26" s="23">
        <v>41.3</v>
      </c>
      <c r="G26" s="23">
        <v>42.5</v>
      </c>
      <c r="H26" s="23">
        <v>43.4</v>
      </c>
      <c r="I26" s="23">
        <v>44.1</v>
      </c>
      <c r="J26" s="23">
        <v>44.6</v>
      </c>
      <c r="K26" s="29">
        <v>45</v>
      </c>
      <c r="L26" s="10"/>
    </row>
    <row r="27" spans="1:17" ht="16.649999999999999" customHeight="1" x14ac:dyDescent="0.3">
      <c r="A27" s="57">
        <v>24</v>
      </c>
      <c r="B27" s="22">
        <v>34.200000000000003</v>
      </c>
      <c r="C27" s="23">
        <v>35.6</v>
      </c>
      <c r="D27" s="23">
        <v>36.799999999999997</v>
      </c>
      <c r="E27" s="23">
        <v>37.700000000000003</v>
      </c>
      <c r="F27" s="23">
        <v>39.5</v>
      </c>
      <c r="G27" s="23">
        <v>40.700000000000003</v>
      </c>
      <c r="H27" s="23">
        <v>41.6</v>
      </c>
      <c r="I27" s="23">
        <v>42.2</v>
      </c>
      <c r="J27" s="23">
        <v>42.7</v>
      </c>
      <c r="K27" s="29">
        <v>43.1</v>
      </c>
      <c r="L27" s="10"/>
    </row>
    <row r="28" spans="1:17" ht="16.649999999999999" customHeight="1" x14ac:dyDescent="0.3">
      <c r="A28" s="57">
        <v>25</v>
      </c>
      <c r="B28" s="22">
        <v>32.5</v>
      </c>
      <c r="C28" s="23">
        <v>33.9</v>
      </c>
      <c r="D28" s="23">
        <v>35</v>
      </c>
      <c r="E28" s="23">
        <v>35.9</v>
      </c>
      <c r="F28" s="23">
        <v>37.700000000000003</v>
      </c>
      <c r="G28" s="23">
        <v>38.9</v>
      </c>
      <c r="H28" s="23">
        <v>39.799999999999997</v>
      </c>
      <c r="I28" s="23">
        <v>40.5</v>
      </c>
      <c r="J28" s="23">
        <v>41</v>
      </c>
      <c r="K28" s="29">
        <v>41.4</v>
      </c>
      <c r="L28" s="10"/>
    </row>
    <row r="29" spans="1:17" ht="24.9" customHeight="1" x14ac:dyDescent="0.3">
      <c r="A29" s="57">
        <v>26</v>
      </c>
      <c r="B29" s="22">
        <v>30.9</v>
      </c>
      <c r="C29" s="23">
        <v>32.299999999999997</v>
      </c>
      <c r="D29" s="23">
        <v>33.4</v>
      </c>
      <c r="E29" s="23">
        <v>34.299999999999997</v>
      </c>
      <c r="F29" s="23">
        <v>36.1</v>
      </c>
      <c r="G29" s="23">
        <v>37.299999999999997</v>
      </c>
      <c r="H29" s="23">
        <v>38.200000000000003</v>
      </c>
      <c r="I29" s="23">
        <v>38.799999999999997</v>
      </c>
      <c r="J29" s="23">
        <v>39.299999999999997</v>
      </c>
      <c r="K29" s="29">
        <v>39.700000000000003</v>
      </c>
      <c r="L29" s="10"/>
    </row>
    <row r="30" spans="1:17" s="36" customFormat="1" ht="16.649999999999999" customHeight="1" x14ac:dyDescent="0.3">
      <c r="A30" s="57">
        <v>27</v>
      </c>
      <c r="B30" s="22">
        <v>29.4</v>
      </c>
      <c r="C30" s="23">
        <v>30.7</v>
      </c>
      <c r="D30" s="23">
        <v>31.8</v>
      </c>
      <c r="E30" s="23">
        <v>32.700000000000003</v>
      </c>
      <c r="F30" s="23">
        <v>34.5</v>
      </c>
      <c r="G30" s="23">
        <v>35.700000000000003</v>
      </c>
      <c r="H30" s="23">
        <v>36.5</v>
      </c>
      <c r="I30" s="23">
        <v>37.200000000000003</v>
      </c>
      <c r="J30" s="23">
        <v>37.700000000000003</v>
      </c>
      <c r="K30" s="29">
        <v>38.1</v>
      </c>
      <c r="L30" s="60"/>
    </row>
    <row r="31" spans="1:17" s="36" customFormat="1" ht="16.649999999999999" customHeight="1" x14ac:dyDescent="0.3">
      <c r="A31" s="57">
        <v>28</v>
      </c>
      <c r="B31" s="22">
        <v>28</v>
      </c>
      <c r="C31" s="23">
        <v>29.3</v>
      </c>
      <c r="D31" s="23">
        <v>30.3</v>
      </c>
      <c r="E31" s="23">
        <v>31.2</v>
      </c>
      <c r="F31" s="23">
        <v>33</v>
      </c>
      <c r="G31" s="23">
        <v>34.1</v>
      </c>
      <c r="H31" s="23">
        <v>35</v>
      </c>
      <c r="I31" s="23">
        <v>35.700000000000003</v>
      </c>
      <c r="J31" s="23">
        <v>36.200000000000003</v>
      </c>
      <c r="K31" s="29">
        <v>36.6</v>
      </c>
      <c r="L31" s="60"/>
    </row>
    <row r="32" spans="1:17" s="36" customFormat="1" ht="16.649999999999999" customHeight="1" x14ac:dyDescent="0.3">
      <c r="A32" s="57">
        <v>29</v>
      </c>
      <c r="B32" s="22">
        <v>26.7</v>
      </c>
      <c r="C32" s="23">
        <v>27.9</v>
      </c>
      <c r="D32" s="23">
        <v>28.9</v>
      </c>
      <c r="E32" s="23">
        <v>29.8</v>
      </c>
      <c r="F32" s="23">
        <v>31.5</v>
      </c>
      <c r="G32" s="23">
        <v>32.700000000000003</v>
      </c>
      <c r="H32" s="23">
        <v>33.6</v>
      </c>
      <c r="I32" s="23">
        <v>34.200000000000003</v>
      </c>
      <c r="J32" s="23">
        <v>34.700000000000003</v>
      </c>
      <c r="K32" s="29">
        <v>35.1</v>
      </c>
      <c r="L32" s="60"/>
      <c r="M32" s="4"/>
      <c r="N32" s="4"/>
      <c r="O32" s="4"/>
      <c r="P32" s="4"/>
      <c r="Q32" s="4"/>
    </row>
    <row r="33" spans="1:17" s="36" customFormat="1" ht="16.649999999999999" customHeight="1" thickBot="1" x14ac:dyDescent="0.35">
      <c r="A33" s="59">
        <v>30</v>
      </c>
      <c r="B33" s="61">
        <v>25.4</v>
      </c>
      <c r="C33" s="62">
        <v>26.6</v>
      </c>
      <c r="D33" s="62">
        <v>27.6</v>
      </c>
      <c r="E33" s="62">
        <v>28.4</v>
      </c>
      <c r="F33" s="62">
        <v>30.1</v>
      </c>
      <c r="G33" s="62">
        <v>31.2</v>
      </c>
      <c r="H33" s="62">
        <v>32.1</v>
      </c>
      <c r="I33" s="62">
        <v>32.700000000000003</v>
      </c>
      <c r="J33" s="62">
        <v>33.200000000000003</v>
      </c>
      <c r="K33" s="63">
        <v>33.6</v>
      </c>
      <c r="L33" s="60"/>
      <c r="M33" s="4"/>
      <c r="N33" s="4"/>
      <c r="O33" s="4"/>
      <c r="P33" s="4"/>
      <c r="Q33" s="4"/>
    </row>
    <row r="34" spans="1:17" ht="17.25" customHeight="1" thickTop="1" x14ac:dyDescent="0.3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2"/>
      <c r="N34" s="2"/>
      <c r="O34" s="2"/>
      <c r="P34" s="2"/>
      <c r="Q34" s="2"/>
    </row>
    <row r="35" spans="1:17" ht="17.25" customHeight="1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2"/>
      <c r="N35" s="2"/>
      <c r="O35" s="2"/>
      <c r="P35" s="2"/>
      <c r="Q35" s="2"/>
    </row>
    <row r="36" spans="1:17" ht="17.25" customHeight="1" x14ac:dyDescent="0.3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2"/>
      <c r="N36" s="2"/>
      <c r="O36" s="2"/>
      <c r="P36" s="2"/>
      <c r="Q36" s="2"/>
    </row>
    <row r="37" spans="1:17" ht="17.25" customHeight="1" x14ac:dyDescent="0.3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2"/>
      <c r="N37" s="2"/>
      <c r="O37" s="2"/>
      <c r="P37" s="2"/>
      <c r="Q37" s="2"/>
    </row>
    <row r="38" spans="1:17" ht="17.25" customHeight="1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2"/>
      <c r="N38" s="2"/>
      <c r="O38" s="2"/>
      <c r="P38" s="2"/>
      <c r="Q38" s="2"/>
    </row>
    <row r="39" spans="1:17" ht="17.25" customHeight="1" x14ac:dyDescent="0.3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2"/>
      <c r="N39" s="2"/>
      <c r="O39" s="2"/>
      <c r="P39" s="2"/>
      <c r="Q39" s="2"/>
    </row>
    <row r="40" spans="1:17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2"/>
      <c r="N40" s="2"/>
      <c r="O40" s="2"/>
      <c r="P40" s="2"/>
      <c r="Q40" s="2"/>
    </row>
    <row r="41" spans="1:17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2"/>
      <c r="N41" s="2"/>
      <c r="O41" s="2"/>
      <c r="P41" s="2"/>
      <c r="Q41" s="2"/>
    </row>
    <row r="42" spans="1:17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2"/>
      <c r="N42" s="2"/>
      <c r="O42" s="2"/>
      <c r="P42" s="2"/>
      <c r="Q42" s="2"/>
    </row>
    <row r="43" spans="1:17" x14ac:dyDescent="0.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2"/>
      <c r="N43" s="2"/>
      <c r="O43" s="2"/>
      <c r="P43" s="2"/>
      <c r="Q43" s="2"/>
    </row>
    <row r="44" spans="1:17" x14ac:dyDescent="0.3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2"/>
      <c r="N44" s="2"/>
      <c r="O44" s="2"/>
      <c r="P44" s="2"/>
      <c r="Q44" s="2"/>
    </row>
    <row r="45" spans="1:17" x14ac:dyDescent="0.3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2"/>
      <c r="N45" s="2"/>
      <c r="O45" s="2"/>
      <c r="P45" s="2"/>
      <c r="Q45" s="2"/>
    </row>
    <row r="46" spans="1:17" x14ac:dyDescent="0.3">
      <c r="A46" s="6"/>
      <c r="B46" s="6"/>
      <c r="C46" s="6"/>
      <c r="D46" s="6"/>
      <c r="E46" s="6"/>
      <c r="F46" s="6"/>
      <c r="G46" s="6"/>
      <c r="H46" s="10"/>
      <c r="I46" s="10"/>
      <c r="J46" s="10"/>
      <c r="K46" s="10"/>
      <c r="L46" s="6"/>
      <c r="M46" s="2"/>
      <c r="N46" s="2"/>
      <c r="O46" s="2"/>
      <c r="P46" s="2"/>
      <c r="Q46" s="2"/>
    </row>
    <row r="47" spans="1:17" x14ac:dyDescent="0.3">
      <c r="A47" s="6"/>
      <c r="B47" s="6"/>
      <c r="C47" s="6"/>
      <c r="D47" s="6"/>
      <c r="E47" s="6"/>
      <c r="F47" s="6"/>
      <c r="G47" s="6"/>
      <c r="H47" s="10"/>
      <c r="I47" s="10"/>
      <c r="J47" s="10"/>
      <c r="K47" s="10"/>
      <c r="L47" s="6"/>
      <c r="M47" s="2"/>
      <c r="N47" s="2"/>
      <c r="O47" s="2"/>
      <c r="P47" s="2"/>
      <c r="Q47" s="2"/>
    </row>
    <row r="48" spans="1:17" x14ac:dyDescent="0.3">
      <c r="A48" s="6"/>
      <c r="B48" s="6"/>
      <c r="C48" s="6"/>
      <c r="D48" s="6"/>
      <c r="E48" s="6"/>
      <c r="F48" s="6"/>
      <c r="G48" s="6"/>
      <c r="H48" s="10"/>
      <c r="I48" s="10"/>
      <c r="J48" s="10"/>
      <c r="K48" s="10"/>
      <c r="L48" s="6"/>
      <c r="M48" s="2"/>
      <c r="N48" s="2"/>
      <c r="O48" s="2"/>
      <c r="P48" s="2"/>
      <c r="Q48" s="2"/>
    </row>
    <row r="49" spans="1:17" x14ac:dyDescent="0.3">
      <c r="A49" s="6"/>
      <c r="B49" s="6"/>
      <c r="C49" s="6"/>
      <c r="D49" s="6"/>
      <c r="E49" s="6"/>
      <c r="F49" s="6"/>
      <c r="G49" s="6"/>
      <c r="H49" s="10"/>
      <c r="I49" s="10"/>
      <c r="J49" s="10"/>
      <c r="K49" s="10"/>
      <c r="L49" s="6"/>
      <c r="M49" s="2"/>
      <c r="N49" s="2"/>
      <c r="O49" s="2"/>
      <c r="P49" s="2"/>
      <c r="Q49" s="2"/>
    </row>
    <row r="50" spans="1:17" x14ac:dyDescent="0.3">
      <c r="H50" s="10"/>
      <c r="I50" s="10"/>
      <c r="J50" s="10"/>
      <c r="K50" s="10"/>
      <c r="M50" s="2"/>
      <c r="N50" s="2"/>
      <c r="O50" s="2"/>
      <c r="P50" s="2"/>
      <c r="Q50" s="2"/>
    </row>
    <row r="51" spans="1:17" x14ac:dyDescent="0.3">
      <c r="H51" s="10"/>
      <c r="I51" s="10"/>
      <c r="J51" s="10"/>
      <c r="K51" s="10"/>
      <c r="M51" s="2"/>
      <c r="N51" s="2"/>
      <c r="O51" s="2"/>
      <c r="P51" s="2"/>
      <c r="Q51" s="2"/>
    </row>
    <row r="52" spans="1:17" x14ac:dyDescent="0.3">
      <c r="H52" s="10"/>
      <c r="I52" s="10"/>
      <c r="J52" s="10"/>
      <c r="K52" s="10"/>
      <c r="M52" s="2"/>
      <c r="N52" s="2"/>
      <c r="O52" s="2"/>
      <c r="P52" s="2"/>
      <c r="Q52" s="2"/>
    </row>
    <row r="53" spans="1:17" x14ac:dyDescent="0.3">
      <c r="H53" s="10"/>
      <c r="I53" s="10"/>
      <c r="J53" s="10"/>
      <c r="K53" s="10"/>
      <c r="M53" s="2"/>
      <c r="N53" s="2"/>
      <c r="O53" s="2"/>
      <c r="P53" s="2"/>
      <c r="Q53" s="2"/>
    </row>
    <row r="54" spans="1:17" x14ac:dyDescent="0.3">
      <c r="H54" s="10"/>
      <c r="I54" s="10"/>
      <c r="J54" s="10"/>
      <c r="K54" s="10"/>
      <c r="M54" s="2"/>
      <c r="N54" s="2"/>
      <c r="O54" s="2"/>
      <c r="P54" s="2"/>
      <c r="Q54" s="2"/>
    </row>
    <row r="55" spans="1:17" x14ac:dyDescent="0.3">
      <c r="H55" s="10"/>
      <c r="I55" s="10"/>
      <c r="J55" s="10"/>
      <c r="K55" s="10"/>
      <c r="M55" s="2"/>
      <c r="N55" s="2"/>
      <c r="O55" s="2"/>
      <c r="P55" s="2"/>
      <c r="Q55" s="2"/>
    </row>
    <row r="56" spans="1:17" x14ac:dyDescent="0.3">
      <c r="H56" s="10"/>
      <c r="I56" s="10"/>
      <c r="J56" s="10"/>
      <c r="K56" s="10"/>
      <c r="M56" s="2"/>
      <c r="N56" s="2"/>
      <c r="O56" s="2"/>
      <c r="P56" s="2"/>
      <c r="Q56" s="2"/>
    </row>
    <row r="57" spans="1:17" x14ac:dyDescent="0.3">
      <c r="H57" s="10"/>
      <c r="M57" s="2"/>
      <c r="N57" s="2"/>
      <c r="O57" s="2"/>
      <c r="P57" s="2"/>
      <c r="Q57" s="2"/>
    </row>
    <row r="58" spans="1:17" x14ac:dyDescent="0.3">
      <c r="H58" s="10"/>
      <c r="M58" s="2"/>
      <c r="N58" s="2"/>
      <c r="O58" s="2"/>
      <c r="P58" s="2"/>
      <c r="Q58" s="2"/>
    </row>
    <row r="59" spans="1:17" x14ac:dyDescent="0.3">
      <c r="H59" s="10"/>
      <c r="M59" s="2"/>
      <c r="N59" s="2"/>
      <c r="O59" s="2"/>
      <c r="P59" s="2"/>
      <c r="Q59" s="2"/>
    </row>
    <row r="60" spans="1:17" x14ac:dyDescent="0.3">
      <c r="H60" s="10"/>
      <c r="M60" s="2"/>
      <c r="N60" s="2"/>
      <c r="O60" s="2"/>
      <c r="P60" s="2"/>
      <c r="Q60" s="2"/>
    </row>
    <row r="61" spans="1:17" x14ac:dyDescent="0.3">
      <c r="H61" s="10"/>
      <c r="M61" s="2"/>
      <c r="N61" s="2"/>
      <c r="O61" s="2"/>
      <c r="P61" s="2"/>
      <c r="Q61" s="2"/>
    </row>
    <row r="62" spans="1:17" x14ac:dyDescent="0.3">
      <c r="M62" s="2"/>
      <c r="N62" s="2"/>
      <c r="O62" s="2"/>
      <c r="P62" s="2"/>
      <c r="Q62" s="2"/>
    </row>
    <row r="63" spans="1:17" x14ac:dyDescent="0.3">
      <c r="M63" s="2"/>
      <c r="N63" s="2"/>
      <c r="O63" s="2"/>
      <c r="P63" s="2"/>
      <c r="Q63" s="2"/>
    </row>
    <row r="64" spans="1:17" x14ac:dyDescent="0.3">
      <c r="M64" s="2"/>
      <c r="N64" s="2"/>
      <c r="O64" s="2"/>
      <c r="P64" s="2"/>
      <c r="Q64" s="2"/>
    </row>
    <row r="65" spans="13:17" x14ac:dyDescent="0.3">
      <c r="M65" s="2"/>
      <c r="N65" s="2"/>
      <c r="O65" s="2"/>
      <c r="P65" s="2"/>
      <c r="Q65" s="2"/>
    </row>
    <row r="66" spans="13:17" x14ac:dyDescent="0.3">
      <c r="M66" s="2"/>
      <c r="N66" s="2"/>
      <c r="O66" s="2"/>
      <c r="P66" s="2"/>
      <c r="Q66" s="2"/>
    </row>
    <row r="67" spans="13:17" x14ac:dyDescent="0.3">
      <c r="M67" s="2"/>
      <c r="N67" s="2"/>
      <c r="O67" s="2"/>
      <c r="P67" s="2"/>
      <c r="Q67" s="2"/>
    </row>
    <row r="68" spans="13:17" x14ac:dyDescent="0.3">
      <c r="M68" s="2"/>
      <c r="N68" s="2"/>
      <c r="O68" s="2"/>
      <c r="P68" s="2"/>
      <c r="Q68" s="2"/>
    </row>
    <row r="69" spans="13:17" x14ac:dyDescent="0.3">
      <c r="M69" s="2"/>
      <c r="N69" s="2"/>
      <c r="O69" s="2"/>
      <c r="P69" s="2"/>
      <c r="Q69" s="2"/>
    </row>
    <row r="70" spans="13:17" x14ac:dyDescent="0.3">
      <c r="M70" s="2"/>
      <c r="N70" s="2"/>
      <c r="O70" s="2"/>
      <c r="P70" s="2"/>
      <c r="Q70" s="2"/>
    </row>
    <row r="71" spans="13:17" x14ac:dyDescent="0.3">
      <c r="M71" s="2"/>
      <c r="N71" s="2"/>
      <c r="O71" s="2"/>
      <c r="P71" s="2"/>
      <c r="Q71" s="2"/>
    </row>
    <row r="72" spans="13:17" x14ac:dyDescent="0.3">
      <c r="M72" s="2"/>
      <c r="N72" s="2"/>
      <c r="O72" s="2"/>
      <c r="P72" s="2"/>
      <c r="Q72" s="2"/>
    </row>
    <row r="73" spans="13:17" x14ac:dyDescent="0.3">
      <c r="M73" s="2"/>
      <c r="N73" s="2"/>
      <c r="O73" s="2"/>
      <c r="P73" s="2"/>
      <c r="Q73" s="2"/>
    </row>
    <row r="74" spans="13:17" x14ac:dyDescent="0.3">
      <c r="M74" s="2"/>
      <c r="N74" s="2"/>
      <c r="O74" s="2"/>
      <c r="P74" s="2"/>
      <c r="Q74" s="2"/>
    </row>
    <row r="75" spans="13:17" x14ac:dyDescent="0.3">
      <c r="M75" s="2"/>
      <c r="N75" s="2"/>
      <c r="O75" s="2"/>
      <c r="P75" s="2"/>
      <c r="Q75" s="2"/>
    </row>
    <row r="76" spans="13:17" x14ac:dyDescent="0.3">
      <c r="M76" s="2"/>
      <c r="N76" s="2"/>
      <c r="O76" s="2"/>
      <c r="P76" s="2"/>
      <c r="Q76" s="2"/>
    </row>
    <row r="77" spans="13:17" x14ac:dyDescent="0.3">
      <c r="M77" s="2"/>
      <c r="N77" s="2"/>
      <c r="O77" s="2"/>
      <c r="P77" s="2"/>
      <c r="Q77" s="2"/>
    </row>
    <row r="78" spans="13:17" x14ac:dyDescent="0.3">
      <c r="M78" s="2"/>
      <c r="N78" s="2"/>
      <c r="O78" s="2"/>
      <c r="P78" s="2"/>
      <c r="Q78" s="2"/>
    </row>
    <row r="79" spans="13:17" x14ac:dyDescent="0.3">
      <c r="M79" s="2"/>
      <c r="N79" s="2"/>
      <c r="O79" s="2"/>
      <c r="P79" s="2"/>
      <c r="Q79" s="2"/>
    </row>
    <row r="80" spans="13:17" x14ac:dyDescent="0.3">
      <c r="M80" s="2"/>
      <c r="N80" s="2"/>
      <c r="O80" s="2"/>
      <c r="P80" s="2"/>
      <c r="Q80" s="2"/>
    </row>
    <row r="81" spans="13:17" x14ac:dyDescent="0.3">
      <c r="M81" s="2"/>
      <c r="N81" s="2"/>
      <c r="O81" s="2"/>
      <c r="P81" s="2"/>
      <c r="Q81" s="2"/>
    </row>
    <row r="82" spans="13:17" x14ac:dyDescent="0.3">
      <c r="M82" s="2"/>
      <c r="N82" s="2"/>
      <c r="O82" s="2"/>
      <c r="P82" s="2"/>
      <c r="Q82" s="2"/>
    </row>
    <row r="83" spans="13:17" x14ac:dyDescent="0.3">
      <c r="M83" s="2"/>
      <c r="N83" s="2"/>
      <c r="O83" s="2"/>
      <c r="P83" s="2"/>
      <c r="Q83" s="2"/>
    </row>
    <row r="84" spans="13:17" x14ac:dyDescent="0.3">
      <c r="M84" s="2"/>
      <c r="N84" s="2"/>
      <c r="O84" s="2"/>
      <c r="P84" s="2"/>
      <c r="Q84" s="2"/>
    </row>
    <row r="85" spans="13:17" x14ac:dyDescent="0.3">
      <c r="M85" s="2"/>
      <c r="N85" s="2"/>
      <c r="O85" s="2"/>
      <c r="P85" s="2"/>
      <c r="Q85" s="2"/>
    </row>
    <row r="86" spans="13:17" x14ac:dyDescent="0.3">
      <c r="M86" s="2"/>
      <c r="N86" s="2"/>
      <c r="O86" s="2"/>
      <c r="P86" s="2"/>
      <c r="Q86" s="2"/>
    </row>
    <row r="87" spans="13:17" x14ac:dyDescent="0.3">
      <c r="M87" s="2"/>
      <c r="N87" s="2"/>
      <c r="O87" s="2"/>
      <c r="P87" s="2"/>
      <c r="Q87" s="2"/>
    </row>
    <row r="88" spans="13:17" x14ac:dyDescent="0.3">
      <c r="M88" s="2"/>
      <c r="N88" s="2"/>
      <c r="O88" s="2"/>
      <c r="P88" s="2"/>
      <c r="Q88" s="2"/>
    </row>
    <row r="89" spans="13:17" x14ac:dyDescent="0.3">
      <c r="M89" s="2"/>
      <c r="N89" s="2"/>
      <c r="O89" s="2"/>
      <c r="P89" s="2"/>
      <c r="Q89" s="2"/>
    </row>
    <row r="90" spans="13:17" x14ac:dyDescent="0.3">
      <c r="M90" s="2"/>
      <c r="N90" s="2"/>
      <c r="O90" s="2"/>
      <c r="P90" s="2"/>
      <c r="Q90" s="2"/>
    </row>
    <row r="91" spans="13:17" x14ac:dyDescent="0.3">
      <c r="M91" s="2"/>
      <c r="N91" s="2"/>
      <c r="O91" s="2"/>
      <c r="P91" s="2"/>
      <c r="Q91" s="2"/>
    </row>
    <row r="92" spans="13:17" x14ac:dyDescent="0.3">
      <c r="M92" s="2"/>
      <c r="N92" s="2"/>
      <c r="O92" s="2"/>
      <c r="P92" s="2"/>
      <c r="Q92" s="2"/>
    </row>
    <row r="93" spans="13:17" x14ac:dyDescent="0.3">
      <c r="M93" s="2"/>
      <c r="N93" s="2"/>
      <c r="O93" s="2"/>
      <c r="P93" s="2"/>
      <c r="Q93" s="2"/>
    </row>
    <row r="94" spans="13:17" x14ac:dyDescent="0.3">
      <c r="M94" s="2"/>
      <c r="N94" s="2"/>
      <c r="O94" s="2"/>
      <c r="P94" s="2"/>
      <c r="Q94" s="2"/>
    </row>
    <row r="95" spans="13:17" x14ac:dyDescent="0.3">
      <c r="M95" s="2"/>
      <c r="N95" s="2"/>
      <c r="O95" s="2"/>
      <c r="P95" s="2"/>
      <c r="Q95" s="2"/>
    </row>
    <row r="96" spans="13:17" x14ac:dyDescent="0.3">
      <c r="M96" s="2"/>
      <c r="N96" s="2"/>
      <c r="O96" s="2"/>
      <c r="P96" s="2"/>
      <c r="Q96" s="2"/>
    </row>
    <row r="97" spans="13:17" x14ac:dyDescent="0.3">
      <c r="M97" s="2"/>
      <c r="N97" s="2"/>
      <c r="O97" s="2"/>
      <c r="P97" s="2"/>
      <c r="Q97" s="2"/>
    </row>
    <row r="98" spans="13:17" x14ac:dyDescent="0.3">
      <c r="M98" s="2"/>
      <c r="N98" s="2"/>
      <c r="O98" s="2"/>
      <c r="P98" s="2"/>
      <c r="Q98" s="2"/>
    </row>
    <row r="99" spans="13:17" x14ac:dyDescent="0.3">
      <c r="M99" s="2"/>
      <c r="N99" s="2"/>
      <c r="O99" s="2"/>
      <c r="P99" s="2"/>
      <c r="Q99" s="2"/>
    </row>
    <row r="100" spans="13:17" x14ac:dyDescent="0.3">
      <c r="M100" s="2"/>
      <c r="N100" s="2"/>
      <c r="O100" s="2"/>
      <c r="P100" s="2"/>
      <c r="Q100" s="2"/>
    </row>
    <row r="101" spans="13:17" x14ac:dyDescent="0.3">
      <c r="M101" s="2"/>
      <c r="N101" s="2"/>
      <c r="O101" s="2"/>
      <c r="P101" s="2"/>
      <c r="Q101" s="2"/>
    </row>
    <row r="102" spans="13:17" x14ac:dyDescent="0.3">
      <c r="M102" s="2"/>
      <c r="N102" s="2"/>
      <c r="O102" s="2"/>
      <c r="P102" s="2"/>
      <c r="Q102" s="2"/>
    </row>
    <row r="103" spans="13:17" x14ac:dyDescent="0.3">
      <c r="M103" s="2"/>
      <c r="N103" s="2"/>
      <c r="O103" s="2"/>
      <c r="P103" s="2"/>
      <c r="Q103" s="2"/>
    </row>
    <row r="104" spans="13:17" x14ac:dyDescent="0.3">
      <c r="M104" s="2"/>
      <c r="N104" s="2"/>
      <c r="O104" s="2"/>
      <c r="P104" s="2"/>
      <c r="Q104" s="2"/>
    </row>
    <row r="105" spans="13:17" x14ac:dyDescent="0.3">
      <c r="M105" s="2"/>
      <c r="N105" s="2"/>
      <c r="O105" s="2"/>
      <c r="P105" s="2"/>
      <c r="Q105" s="2"/>
    </row>
    <row r="106" spans="13:17" x14ac:dyDescent="0.3">
      <c r="M106" s="2"/>
      <c r="N106" s="2"/>
      <c r="O106" s="2"/>
      <c r="P106" s="2"/>
      <c r="Q106" s="2"/>
    </row>
    <row r="107" spans="13:17" x14ac:dyDescent="0.3">
      <c r="M107" s="2"/>
      <c r="N107" s="2"/>
      <c r="O107" s="2"/>
      <c r="P107" s="2"/>
      <c r="Q107" s="2"/>
    </row>
    <row r="108" spans="13:17" x14ac:dyDescent="0.3">
      <c r="M108" s="2"/>
      <c r="N108" s="2"/>
      <c r="O108" s="2"/>
      <c r="P108" s="2"/>
      <c r="Q108" s="2"/>
    </row>
    <row r="109" spans="13:17" x14ac:dyDescent="0.3">
      <c r="M109" s="2"/>
      <c r="N109" s="2"/>
      <c r="O109" s="2"/>
      <c r="P109" s="2"/>
      <c r="Q109" s="2"/>
    </row>
    <row r="110" spans="13:17" x14ac:dyDescent="0.3">
      <c r="M110" s="2"/>
      <c r="N110" s="2"/>
      <c r="O110" s="2"/>
      <c r="P110" s="2"/>
      <c r="Q110" s="2"/>
    </row>
    <row r="111" spans="13:17" x14ac:dyDescent="0.3">
      <c r="M111" s="2"/>
      <c r="N111" s="2"/>
      <c r="O111" s="2"/>
      <c r="P111" s="2"/>
      <c r="Q111" s="2"/>
    </row>
    <row r="112" spans="13:17" x14ac:dyDescent="0.3">
      <c r="M112" s="2"/>
      <c r="N112" s="2"/>
      <c r="O112" s="2"/>
      <c r="P112" s="2"/>
      <c r="Q112" s="2"/>
    </row>
    <row r="113" spans="13:17" x14ac:dyDescent="0.3">
      <c r="M113" s="2"/>
      <c r="N113" s="2"/>
      <c r="O113" s="2"/>
      <c r="P113" s="2"/>
      <c r="Q113" s="2"/>
    </row>
    <row r="114" spans="13:17" x14ac:dyDescent="0.3">
      <c r="M114" s="2"/>
      <c r="N114" s="2"/>
      <c r="O114" s="2"/>
      <c r="P114" s="2"/>
      <c r="Q114" s="2"/>
    </row>
    <row r="115" spans="13:17" x14ac:dyDescent="0.3">
      <c r="M115" s="2"/>
      <c r="N115" s="2"/>
      <c r="O115" s="2"/>
      <c r="P115" s="2"/>
      <c r="Q115" s="2"/>
    </row>
    <row r="116" spans="13:17" x14ac:dyDescent="0.3">
      <c r="M116" s="2"/>
      <c r="N116" s="2"/>
      <c r="O116" s="2"/>
      <c r="P116" s="2"/>
      <c r="Q116" s="2"/>
    </row>
    <row r="117" spans="13:17" x14ac:dyDescent="0.3">
      <c r="M117" s="2"/>
      <c r="N117" s="2"/>
      <c r="O117" s="2"/>
      <c r="P117" s="2"/>
      <c r="Q117" s="2"/>
    </row>
    <row r="118" spans="13:17" x14ac:dyDescent="0.3">
      <c r="M118" s="2"/>
    </row>
    <row r="119" spans="13:17" x14ac:dyDescent="0.3">
      <c r="M119" s="2"/>
    </row>
    <row r="120" spans="13:17" x14ac:dyDescent="0.3">
      <c r="M120" s="2"/>
    </row>
    <row r="121" spans="13:17" x14ac:dyDescent="0.3">
      <c r="M121" s="2"/>
    </row>
    <row r="122" spans="13:17" x14ac:dyDescent="0.3">
      <c r="M122" s="2"/>
    </row>
    <row r="123" spans="13:17" x14ac:dyDescent="0.3">
      <c r="M123" s="2"/>
    </row>
    <row r="124" spans="13:17" x14ac:dyDescent="0.3">
      <c r="M124" s="2"/>
    </row>
    <row r="125" spans="13:17" x14ac:dyDescent="0.3">
      <c r="M125" s="2"/>
    </row>
    <row r="126" spans="13:17" x14ac:dyDescent="0.3">
      <c r="M126" s="2"/>
    </row>
    <row r="127" spans="13:17" x14ac:dyDescent="0.3">
      <c r="M127" s="2"/>
    </row>
    <row r="128" spans="13:17" x14ac:dyDescent="0.3">
      <c r="M128" s="2"/>
    </row>
    <row r="129" spans="13:13" x14ac:dyDescent="0.3">
      <c r="M129" s="2"/>
    </row>
    <row r="130" spans="13:13" x14ac:dyDescent="0.3">
      <c r="M130" s="2"/>
    </row>
    <row r="131" spans="13:13" x14ac:dyDescent="0.3">
      <c r="M131" s="2"/>
    </row>
    <row r="132" spans="13:13" x14ac:dyDescent="0.3">
      <c r="M132" s="2"/>
    </row>
    <row r="133" spans="13:13" x14ac:dyDescent="0.3">
      <c r="M133" s="2"/>
    </row>
    <row r="134" spans="13:13" x14ac:dyDescent="0.3">
      <c r="M134" s="2"/>
    </row>
    <row r="135" spans="13:13" x14ac:dyDescent="0.3">
      <c r="M135" s="2"/>
    </row>
    <row r="136" spans="13:13" x14ac:dyDescent="0.3">
      <c r="M136" s="2"/>
    </row>
    <row r="137" spans="13:13" x14ac:dyDescent="0.3">
      <c r="M137" s="2"/>
    </row>
    <row r="138" spans="13:13" x14ac:dyDescent="0.3">
      <c r="M138" s="2"/>
    </row>
    <row r="139" spans="13:13" x14ac:dyDescent="0.3">
      <c r="M139" s="2"/>
    </row>
    <row r="140" spans="13:13" x14ac:dyDescent="0.3">
      <c r="M140" s="2"/>
    </row>
    <row r="141" spans="13:13" x14ac:dyDescent="0.3">
      <c r="M141" s="2"/>
    </row>
    <row r="142" spans="13:13" x14ac:dyDescent="0.3">
      <c r="M142" s="2"/>
    </row>
    <row r="143" spans="13:13" x14ac:dyDescent="0.3">
      <c r="M143" s="2"/>
    </row>
    <row r="144" spans="13:13" x14ac:dyDescent="0.3">
      <c r="M144" s="2"/>
    </row>
    <row r="145" spans="13:13" x14ac:dyDescent="0.3">
      <c r="M145" s="2"/>
    </row>
    <row r="146" spans="13:13" x14ac:dyDescent="0.3">
      <c r="M146" s="2"/>
    </row>
    <row r="147" spans="13:13" x14ac:dyDescent="0.3">
      <c r="M147" s="2"/>
    </row>
    <row r="148" spans="13:13" x14ac:dyDescent="0.3">
      <c r="M148" s="2"/>
    </row>
    <row r="149" spans="13:13" x14ac:dyDescent="0.3">
      <c r="M149" s="2"/>
    </row>
    <row r="150" spans="13:13" x14ac:dyDescent="0.3">
      <c r="M150" s="2"/>
    </row>
    <row r="151" spans="13:13" x14ac:dyDescent="0.3">
      <c r="M151" s="2"/>
    </row>
    <row r="152" spans="13:13" x14ac:dyDescent="0.3">
      <c r="M152" s="2"/>
    </row>
    <row r="153" spans="13:13" x14ac:dyDescent="0.3">
      <c r="M153" s="2"/>
    </row>
    <row r="154" spans="13:13" x14ac:dyDescent="0.3">
      <c r="M154" s="2"/>
    </row>
    <row r="155" spans="13:13" x14ac:dyDescent="0.3">
      <c r="M155" s="2"/>
    </row>
    <row r="156" spans="13:13" x14ac:dyDescent="0.3">
      <c r="M156" s="2"/>
    </row>
    <row r="157" spans="13:13" x14ac:dyDescent="0.3">
      <c r="M157" s="2"/>
    </row>
    <row r="158" spans="13:13" x14ac:dyDescent="0.3">
      <c r="M158" s="2"/>
    </row>
    <row r="159" spans="13:13" x14ac:dyDescent="0.3">
      <c r="M159" s="2"/>
    </row>
    <row r="160" spans="13:13" x14ac:dyDescent="0.3">
      <c r="M160" s="2"/>
    </row>
    <row r="161" spans="13:13" x14ac:dyDescent="0.3">
      <c r="M161" s="2"/>
    </row>
    <row r="162" spans="13:13" x14ac:dyDescent="0.3">
      <c r="M162" s="2"/>
    </row>
    <row r="163" spans="13:13" x14ac:dyDescent="0.3">
      <c r="M163" s="2"/>
    </row>
    <row r="164" spans="13:13" x14ac:dyDescent="0.3">
      <c r="M164" s="2"/>
    </row>
    <row r="165" spans="13:13" x14ac:dyDescent="0.3">
      <c r="M165" s="2"/>
    </row>
    <row r="166" spans="13:13" x14ac:dyDescent="0.3">
      <c r="M166" s="2"/>
    </row>
    <row r="167" spans="13:13" x14ac:dyDescent="0.3">
      <c r="M167" s="2"/>
    </row>
    <row r="168" spans="13:13" x14ac:dyDescent="0.3">
      <c r="M168" s="2"/>
    </row>
    <row r="169" spans="13:13" x14ac:dyDescent="0.3">
      <c r="M169" s="2"/>
    </row>
    <row r="170" spans="13:13" x14ac:dyDescent="0.3">
      <c r="M170" s="2"/>
    </row>
    <row r="171" spans="13:13" x14ac:dyDescent="0.3">
      <c r="M171" s="2"/>
    </row>
    <row r="172" spans="13:13" x14ac:dyDescent="0.3">
      <c r="M172" s="2"/>
    </row>
    <row r="173" spans="13:13" x14ac:dyDescent="0.3">
      <c r="M173" s="2"/>
    </row>
    <row r="174" spans="13:13" x14ac:dyDescent="0.3">
      <c r="M174" s="2"/>
    </row>
    <row r="175" spans="13:13" x14ac:dyDescent="0.3">
      <c r="M175" s="2"/>
    </row>
    <row r="176" spans="13:13" x14ac:dyDescent="0.3">
      <c r="M176" s="2"/>
    </row>
    <row r="177" spans="13:13" x14ac:dyDescent="0.3">
      <c r="M177" s="2"/>
    </row>
    <row r="178" spans="13:13" x14ac:dyDescent="0.3">
      <c r="M178" s="2"/>
    </row>
    <row r="179" spans="13:13" x14ac:dyDescent="0.3">
      <c r="M179" s="2"/>
    </row>
    <row r="180" spans="13:13" x14ac:dyDescent="0.3">
      <c r="M180" s="2"/>
    </row>
    <row r="181" spans="13:13" x14ac:dyDescent="0.3">
      <c r="M181" s="2"/>
    </row>
    <row r="182" spans="13:13" x14ac:dyDescent="0.3">
      <c r="M182" s="2"/>
    </row>
    <row r="183" spans="13:13" x14ac:dyDescent="0.3">
      <c r="M183" s="2"/>
    </row>
    <row r="184" spans="13:13" x14ac:dyDescent="0.3">
      <c r="M184" s="2"/>
    </row>
    <row r="185" spans="13:13" x14ac:dyDescent="0.3">
      <c r="M185" s="2"/>
    </row>
    <row r="186" spans="13:13" x14ac:dyDescent="0.3">
      <c r="M186" s="2"/>
    </row>
    <row r="187" spans="13:13" x14ac:dyDescent="0.3">
      <c r="M187" s="2"/>
    </row>
    <row r="188" spans="13:13" x14ac:dyDescent="0.3">
      <c r="M188" s="2"/>
    </row>
    <row r="189" spans="13:13" x14ac:dyDescent="0.3">
      <c r="M189" s="2"/>
    </row>
    <row r="190" spans="13:13" x14ac:dyDescent="0.3">
      <c r="M190" s="2"/>
    </row>
    <row r="191" spans="13:13" x14ac:dyDescent="0.3">
      <c r="M191" s="2"/>
    </row>
    <row r="192" spans="13:13" x14ac:dyDescent="0.3">
      <c r="M192" s="2"/>
    </row>
    <row r="193" spans="13:13" x14ac:dyDescent="0.3">
      <c r="M193" s="2"/>
    </row>
    <row r="194" spans="13:13" x14ac:dyDescent="0.3">
      <c r="M194" s="2"/>
    </row>
    <row r="195" spans="13:13" x14ac:dyDescent="0.3">
      <c r="M195" s="2"/>
    </row>
    <row r="196" spans="13:13" x14ac:dyDescent="0.3">
      <c r="M196" s="2"/>
    </row>
    <row r="197" spans="13:13" x14ac:dyDescent="0.3">
      <c r="M197" s="2"/>
    </row>
    <row r="198" spans="13:13" x14ac:dyDescent="0.3">
      <c r="M198" s="2"/>
    </row>
    <row r="199" spans="13:13" x14ac:dyDescent="0.3">
      <c r="M199" s="2"/>
    </row>
    <row r="200" spans="13:13" x14ac:dyDescent="0.3">
      <c r="M200" s="2"/>
    </row>
    <row r="201" spans="13:13" x14ac:dyDescent="0.3">
      <c r="M201" s="2"/>
    </row>
    <row r="202" spans="13:13" x14ac:dyDescent="0.3">
      <c r="M202" s="2"/>
    </row>
    <row r="203" spans="13:13" x14ac:dyDescent="0.3">
      <c r="M203" s="2"/>
    </row>
    <row r="204" spans="13:13" x14ac:dyDescent="0.3">
      <c r="M204" s="2"/>
    </row>
    <row r="205" spans="13:13" x14ac:dyDescent="0.3">
      <c r="M205" s="2"/>
    </row>
    <row r="206" spans="13:13" x14ac:dyDescent="0.3">
      <c r="M206" s="2"/>
    </row>
    <row r="207" spans="13:13" x14ac:dyDescent="0.3">
      <c r="M207" s="2"/>
    </row>
    <row r="208" spans="13:13" x14ac:dyDescent="0.3">
      <c r="M208" s="2"/>
    </row>
    <row r="209" spans="13:13" x14ac:dyDescent="0.3">
      <c r="M209" s="2"/>
    </row>
    <row r="210" spans="13:13" x14ac:dyDescent="0.3">
      <c r="M210" s="2"/>
    </row>
    <row r="211" spans="13:13" x14ac:dyDescent="0.3">
      <c r="M211" s="2"/>
    </row>
    <row r="212" spans="13:13" x14ac:dyDescent="0.3">
      <c r="M212" s="2"/>
    </row>
    <row r="213" spans="13:13" x14ac:dyDescent="0.3">
      <c r="M213" s="2"/>
    </row>
    <row r="214" spans="13:13" x14ac:dyDescent="0.3">
      <c r="M214" s="2"/>
    </row>
    <row r="215" spans="13:13" x14ac:dyDescent="0.3">
      <c r="M215" s="2"/>
    </row>
    <row r="216" spans="13:13" x14ac:dyDescent="0.3">
      <c r="M216" s="2"/>
    </row>
    <row r="217" spans="13:13" x14ac:dyDescent="0.3">
      <c r="M217" s="2"/>
    </row>
    <row r="218" spans="13:13" x14ac:dyDescent="0.3">
      <c r="M218" s="2"/>
    </row>
    <row r="219" spans="13:13" x14ac:dyDescent="0.3">
      <c r="M219" s="2"/>
    </row>
    <row r="220" spans="13:13" x14ac:dyDescent="0.3">
      <c r="M220" s="2"/>
    </row>
    <row r="221" spans="13:13" x14ac:dyDescent="0.3">
      <c r="M221" s="2"/>
    </row>
    <row r="222" spans="13:13" x14ac:dyDescent="0.3">
      <c r="M222" s="2"/>
    </row>
    <row r="223" spans="13:13" x14ac:dyDescent="0.3">
      <c r="M223" s="2"/>
    </row>
    <row r="224" spans="13:13" x14ac:dyDescent="0.3">
      <c r="M224" s="2"/>
    </row>
    <row r="225" spans="13:13" x14ac:dyDescent="0.3">
      <c r="M225" s="2"/>
    </row>
    <row r="226" spans="13:13" x14ac:dyDescent="0.3">
      <c r="M226" s="2"/>
    </row>
    <row r="227" spans="13:13" x14ac:dyDescent="0.3">
      <c r="M227" s="2"/>
    </row>
    <row r="228" spans="13:13" x14ac:dyDescent="0.3">
      <c r="M228" s="2"/>
    </row>
    <row r="229" spans="13:13" x14ac:dyDescent="0.3">
      <c r="M229" s="2"/>
    </row>
    <row r="230" spans="13:13" x14ac:dyDescent="0.3">
      <c r="M230" s="2"/>
    </row>
    <row r="231" spans="13:13" x14ac:dyDescent="0.3">
      <c r="M231" s="2"/>
    </row>
    <row r="232" spans="13:13" x14ac:dyDescent="0.3">
      <c r="M232" s="2"/>
    </row>
    <row r="233" spans="13:13" x14ac:dyDescent="0.3">
      <c r="M233" s="2"/>
    </row>
    <row r="234" spans="13:13" x14ac:dyDescent="0.3">
      <c r="M234" s="2"/>
    </row>
    <row r="235" spans="13:13" x14ac:dyDescent="0.3">
      <c r="M235" s="2"/>
    </row>
    <row r="236" spans="13:13" x14ac:dyDescent="0.3">
      <c r="M236" s="2"/>
    </row>
    <row r="237" spans="13:13" x14ac:dyDescent="0.3">
      <c r="M237" s="2"/>
    </row>
    <row r="238" spans="13:13" x14ac:dyDescent="0.3">
      <c r="M238" s="2"/>
    </row>
    <row r="239" spans="13:13" x14ac:dyDescent="0.3">
      <c r="M239" s="2"/>
    </row>
    <row r="240" spans="13:13" x14ac:dyDescent="0.3">
      <c r="M240" s="2"/>
    </row>
    <row r="241" spans="13:13" x14ac:dyDescent="0.3">
      <c r="M241" s="2"/>
    </row>
    <row r="242" spans="13:13" x14ac:dyDescent="0.3">
      <c r="M242" s="2"/>
    </row>
    <row r="243" spans="13:13" x14ac:dyDescent="0.3">
      <c r="M243" s="2"/>
    </row>
    <row r="244" spans="13:13" x14ac:dyDescent="0.3">
      <c r="M244" s="2"/>
    </row>
    <row r="245" spans="13:13" x14ac:dyDescent="0.3">
      <c r="M245" s="2"/>
    </row>
    <row r="246" spans="13:13" x14ac:dyDescent="0.3">
      <c r="M246" s="2"/>
    </row>
    <row r="247" spans="13:13" x14ac:dyDescent="0.3">
      <c r="M247" s="2"/>
    </row>
    <row r="248" spans="13:13" x14ac:dyDescent="0.3">
      <c r="M248" s="2"/>
    </row>
    <row r="249" spans="13:13" x14ac:dyDescent="0.3">
      <c r="M249" s="2"/>
    </row>
    <row r="250" spans="13:13" x14ac:dyDescent="0.3">
      <c r="M250" s="2"/>
    </row>
    <row r="251" spans="13:13" x14ac:dyDescent="0.3">
      <c r="M251" s="2"/>
    </row>
    <row r="252" spans="13:13" x14ac:dyDescent="0.3">
      <c r="M252" s="2"/>
    </row>
    <row r="253" spans="13:13" x14ac:dyDescent="0.3">
      <c r="M253" s="2"/>
    </row>
    <row r="254" spans="13:13" x14ac:dyDescent="0.3">
      <c r="M254" s="2"/>
    </row>
    <row r="255" spans="13:13" x14ac:dyDescent="0.3">
      <c r="M255" s="2"/>
    </row>
    <row r="256" spans="13:13" x14ac:dyDescent="0.3">
      <c r="M256" s="2"/>
    </row>
    <row r="257" spans="13:13" x14ac:dyDescent="0.3">
      <c r="M257" s="2"/>
    </row>
    <row r="258" spans="13:13" x14ac:dyDescent="0.3">
      <c r="M258" s="2"/>
    </row>
    <row r="259" spans="13:13" x14ac:dyDescent="0.3">
      <c r="M259" s="2"/>
    </row>
    <row r="260" spans="13:13" x14ac:dyDescent="0.3">
      <c r="M260" s="2"/>
    </row>
    <row r="261" spans="13:13" x14ac:dyDescent="0.3">
      <c r="M261" s="2"/>
    </row>
    <row r="262" spans="13:13" x14ac:dyDescent="0.3">
      <c r="M262" s="2"/>
    </row>
    <row r="263" spans="13:13" x14ac:dyDescent="0.3">
      <c r="M263" s="2"/>
    </row>
    <row r="264" spans="13:13" x14ac:dyDescent="0.3">
      <c r="M264" s="2"/>
    </row>
    <row r="265" spans="13:13" x14ac:dyDescent="0.3">
      <c r="M265" s="2"/>
    </row>
    <row r="266" spans="13:13" x14ac:dyDescent="0.3">
      <c r="M266" s="2"/>
    </row>
    <row r="267" spans="13:13" x14ac:dyDescent="0.3">
      <c r="M267" s="2"/>
    </row>
    <row r="268" spans="13:13" x14ac:dyDescent="0.3">
      <c r="M268" s="2"/>
    </row>
    <row r="269" spans="13:13" x14ac:dyDescent="0.3">
      <c r="M269" s="2"/>
    </row>
    <row r="270" spans="13:13" x14ac:dyDescent="0.3">
      <c r="M270" s="2"/>
    </row>
    <row r="271" spans="13:13" x14ac:dyDescent="0.3">
      <c r="M271" s="2"/>
    </row>
    <row r="272" spans="13:13" x14ac:dyDescent="0.3">
      <c r="M272" s="2"/>
    </row>
    <row r="273" spans="13:13" x14ac:dyDescent="0.3">
      <c r="M273" s="2"/>
    </row>
    <row r="274" spans="13:13" x14ac:dyDescent="0.3">
      <c r="M274" s="2"/>
    </row>
    <row r="275" spans="13:13" x14ac:dyDescent="0.3">
      <c r="M275" s="2"/>
    </row>
    <row r="276" spans="13:13" x14ac:dyDescent="0.3">
      <c r="M276" s="2"/>
    </row>
    <row r="277" spans="13:13" x14ac:dyDescent="0.3">
      <c r="M277" s="2"/>
    </row>
    <row r="278" spans="13:13" x14ac:dyDescent="0.3">
      <c r="M278" s="2"/>
    </row>
    <row r="279" spans="13:13" x14ac:dyDescent="0.3">
      <c r="M279" s="2"/>
    </row>
    <row r="280" spans="13:13" x14ac:dyDescent="0.3">
      <c r="M280" s="2"/>
    </row>
    <row r="281" spans="13:13" x14ac:dyDescent="0.3">
      <c r="M281" s="2"/>
    </row>
    <row r="282" spans="13:13" x14ac:dyDescent="0.3">
      <c r="M282" s="2"/>
    </row>
    <row r="283" spans="13:13" x14ac:dyDescent="0.3">
      <c r="M283" s="2"/>
    </row>
    <row r="284" spans="13:13" x14ac:dyDescent="0.3">
      <c r="M284" s="2"/>
    </row>
    <row r="285" spans="13:13" x14ac:dyDescent="0.3">
      <c r="M285" s="2"/>
    </row>
    <row r="286" spans="13:13" x14ac:dyDescent="0.3">
      <c r="M286" s="2"/>
    </row>
    <row r="287" spans="13:13" x14ac:dyDescent="0.3">
      <c r="M287" s="2"/>
    </row>
    <row r="288" spans="13:13" x14ac:dyDescent="0.3">
      <c r="M288" s="2"/>
    </row>
    <row r="289" spans="13:13" x14ac:dyDescent="0.3">
      <c r="M289" s="2"/>
    </row>
    <row r="290" spans="13:13" x14ac:dyDescent="0.3">
      <c r="M290" s="2"/>
    </row>
    <row r="291" spans="13:13" x14ac:dyDescent="0.3">
      <c r="M291" s="2"/>
    </row>
    <row r="292" spans="13:13" x14ac:dyDescent="0.3">
      <c r="M292" s="2"/>
    </row>
    <row r="293" spans="13:13" x14ac:dyDescent="0.3">
      <c r="M293" s="2"/>
    </row>
    <row r="294" spans="13:13" x14ac:dyDescent="0.3">
      <c r="M294" s="2"/>
    </row>
    <row r="295" spans="13:13" x14ac:dyDescent="0.3">
      <c r="M295" s="2"/>
    </row>
    <row r="296" spans="13:13" x14ac:dyDescent="0.3">
      <c r="M296" s="2"/>
    </row>
    <row r="297" spans="13:13" x14ac:dyDescent="0.3">
      <c r="M297" s="2"/>
    </row>
    <row r="298" spans="13:13" x14ac:dyDescent="0.3">
      <c r="M298" s="2"/>
    </row>
    <row r="299" spans="13:13" x14ac:dyDescent="0.3">
      <c r="M299" s="2"/>
    </row>
    <row r="300" spans="13:13" x14ac:dyDescent="0.3">
      <c r="M300" s="2"/>
    </row>
    <row r="301" spans="13:13" x14ac:dyDescent="0.3">
      <c r="M301" s="2"/>
    </row>
    <row r="302" spans="13:13" x14ac:dyDescent="0.3">
      <c r="M302" s="2"/>
    </row>
    <row r="303" spans="13:13" x14ac:dyDescent="0.3">
      <c r="M303" s="2"/>
    </row>
    <row r="304" spans="13:13" x14ac:dyDescent="0.3">
      <c r="M304" s="2"/>
    </row>
    <row r="305" spans="13:13" x14ac:dyDescent="0.3">
      <c r="M305" s="2"/>
    </row>
    <row r="306" spans="13:13" x14ac:dyDescent="0.3">
      <c r="M306" s="2"/>
    </row>
    <row r="307" spans="13:13" x14ac:dyDescent="0.3">
      <c r="M307" s="2"/>
    </row>
    <row r="308" spans="13:13" x14ac:dyDescent="0.3">
      <c r="M308" s="2"/>
    </row>
    <row r="309" spans="13:13" x14ac:dyDescent="0.3">
      <c r="M309" s="2"/>
    </row>
    <row r="310" spans="13:13" x14ac:dyDescent="0.3">
      <c r="M310" s="2"/>
    </row>
    <row r="311" spans="13:13" x14ac:dyDescent="0.3">
      <c r="M311" s="2"/>
    </row>
    <row r="312" spans="13:13" x14ac:dyDescent="0.3">
      <c r="M312" s="2"/>
    </row>
    <row r="313" spans="13:13" x14ac:dyDescent="0.3">
      <c r="M313" s="2"/>
    </row>
    <row r="314" spans="13:13" x14ac:dyDescent="0.3">
      <c r="M314" s="2"/>
    </row>
    <row r="315" spans="13:13" x14ac:dyDescent="0.3">
      <c r="M315" s="2"/>
    </row>
    <row r="316" spans="13:13" x14ac:dyDescent="0.3">
      <c r="M316" s="2"/>
    </row>
    <row r="317" spans="13:13" x14ac:dyDescent="0.3">
      <c r="M317" s="2"/>
    </row>
    <row r="318" spans="13:13" x14ac:dyDescent="0.3">
      <c r="M318" s="2"/>
    </row>
    <row r="319" spans="13:13" x14ac:dyDescent="0.3">
      <c r="M319" s="2"/>
    </row>
    <row r="320" spans="13:13" x14ac:dyDescent="0.3">
      <c r="M320" s="2"/>
    </row>
    <row r="321" spans="13:13" x14ac:dyDescent="0.3">
      <c r="M321" s="2"/>
    </row>
    <row r="322" spans="13:13" x14ac:dyDescent="0.3">
      <c r="M322" s="2"/>
    </row>
    <row r="323" spans="13:13" x14ac:dyDescent="0.3">
      <c r="M323" s="2"/>
    </row>
    <row r="324" spans="13:13" x14ac:dyDescent="0.3">
      <c r="M324" s="2"/>
    </row>
    <row r="325" spans="13:13" x14ac:dyDescent="0.3">
      <c r="M325" s="2"/>
    </row>
  </sheetData>
  <mergeCells count="5">
    <mergeCell ref="N15:O15"/>
    <mergeCell ref="A1:K1"/>
    <mergeCell ref="A2:K2"/>
    <mergeCell ref="M9:O9"/>
    <mergeCell ref="M11:O11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Y142"/>
  <sheetViews>
    <sheetView showGridLines="0" workbookViewId="0">
      <selection activeCell="A2" sqref="A2:K2"/>
    </sheetView>
  </sheetViews>
  <sheetFormatPr defaultRowHeight="12.45" x14ac:dyDescent="0.3"/>
  <cols>
    <col min="1" max="1" width="9.84375" customWidth="1"/>
    <col min="2" max="11" width="7.69140625" customWidth="1"/>
  </cols>
  <sheetData>
    <row r="1" spans="1:25" s="223" customFormat="1" ht="30" customHeight="1" x14ac:dyDescent="0.4">
      <c r="A1" s="523" t="s">
        <v>21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220"/>
      <c r="M1" s="221"/>
      <c r="N1" s="221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</row>
    <row r="2" spans="1:25" ht="24" customHeight="1" thickBot="1" x14ac:dyDescent="0.4">
      <c r="A2" s="647" t="s">
        <v>134</v>
      </c>
      <c r="B2" s="647"/>
      <c r="C2" s="647"/>
      <c r="D2" s="647"/>
      <c r="E2" s="647"/>
      <c r="F2" s="647"/>
      <c r="G2" s="647"/>
      <c r="H2" s="647"/>
      <c r="I2" s="647"/>
      <c r="J2" s="647"/>
      <c r="K2" s="647"/>
      <c r="L2" s="210"/>
      <c r="M2" s="211"/>
      <c r="N2" s="211"/>
      <c r="O2" s="214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1.9" customHeight="1" thickTop="1" thickBot="1" x14ac:dyDescent="0.35">
      <c r="A3" s="58" t="s">
        <v>37</v>
      </c>
      <c r="B3" s="96">
        <v>4</v>
      </c>
      <c r="C3" s="97">
        <v>6</v>
      </c>
      <c r="D3" s="97">
        <v>8</v>
      </c>
      <c r="E3" s="97">
        <v>10</v>
      </c>
      <c r="F3" s="97">
        <v>15</v>
      </c>
      <c r="G3" s="97">
        <v>20</v>
      </c>
      <c r="H3" s="97">
        <v>25</v>
      </c>
      <c r="I3" s="97">
        <v>30</v>
      </c>
      <c r="J3" s="97">
        <v>35</v>
      </c>
      <c r="K3" s="98">
        <v>40</v>
      </c>
      <c r="L3" s="6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1"/>
      <c r="Y3" s="1"/>
    </row>
    <row r="4" spans="1:25" ht="14.4" customHeight="1" thickTop="1" x14ac:dyDescent="0.3">
      <c r="A4" s="38" t="s">
        <v>3</v>
      </c>
      <c r="B4" s="26">
        <v>4</v>
      </c>
      <c r="C4" s="27">
        <v>6</v>
      </c>
      <c r="D4" s="27">
        <v>8</v>
      </c>
      <c r="E4" s="27">
        <v>10</v>
      </c>
      <c r="F4" s="27">
        <v>15</v>
      </c>
      <c r="G4" s="27">
        <v>20</v>
      </c>
      <c r="H4" s="27">
        <v>25</v>
      </c>
      <c r="I4" s="27">
        <v>30</v>
      </c>
      <c r="J4" s="27">
        <v>35</v>
      </c>
      <c r="K4" s="28">
        <v>40</v>
      </c>
      <c r="L4" s="10"/>
      <c r="M4" s="65"/>
      <c r="N4" s="35"/>
      <c r="O4" s="66"/>
      <c r="P4" s="66"/>
      <c r="Q4" s="66"/>
      <c r="R4" s="66"/>
      <c r="S4" s="66"/>
      <c r="T4" s="66"/>
      <c r="U4" s="66"/>
      <c r="V4" s="66"/>
      <c r="W4" s="66"/>
      <c r="X4" s="1"/>
      <c r="Y4" s="1"/>
    </row>
    <row r="5" spans="1:25" ht="16.649999999999999" customHeight="1" x14ac:dyDescent="0.3">
      <c r="A5" s="56">
        <v>2.2999999999999998</v>
      </c>
      <c r="B5" s="72">
        <v>1</v>
      </c>
      <c r="C5" s="73">
        <v>1</v>
      </c>
      <c r="D5" s="73">
        <v>1</v>
      </c>
      <c r="E5" s="73">
        <v>1</v>
      </c>
      <c r="F5" s="73">
        <v>1</v>
      </c>
      <c r="G5" s="73">
        <v>1</v>
      </c>
      <c r="H5" s="73">
        <v>1</v>
      </c>
      <c r="I5" s="73">
        <v>1</v>
      </c>
      <c r="J5" s="73">
        <v>1</v>
      </c>
      <c r="K5" s="74">
        <v>1</v>
      </c>
      <c r="L5" s="10"/>
      <c r="M5" s="35"/>
      <c r="N5" s="67"/>
      <c r="O5" s="67"/>
      <c r="P5" s="67"/>
      <c r="Q5" s="67"/>
      <c r="R5" s="67"/>
      <c r="S5" s="67"/>
      <c r="T5" s="67"/>
      <c r="U5" s="67"/>
      <c r="V5" s="67"/>
      <c r="W5" s="67"/>
      <c r="X5" s="1"/>
      <c r="Y5" s="1"/>
    </row>
    <row r="6" spans="1:25" ht="16.649999999999999" customHeight="1" x14ac:dyDescent="0.3">
      <c r="A6" s="57">
        <v>3</v>
      </c>
      <c r="B6" s="72">
        <v>0.998</v>
      </c>
      <c r="C6" s="73">
        <v>0.999</v>
      </c>
      <c r="D6" s="73">
        <v>0.999</v>
      </c>
      <c r="E6" s="73">
        <v>0.998</v>
      </c>
      <c r="F6" s="73">
        <v>0.997</v>
      </c>
      <c r="G6" s="73">
        <v>0.996</v>
      </c>
      <c r="H6" s="73">
        <v>0.996</v>
      </c>
      <c r="I6" s="73">
        <v>0.996</v>
      </c>
      <c r="J6" s="73">
        <v>0.996</v>
      </c>
      <c r="K6" s="74">
        <v>0.996</v>
      </c>
      <c r="L6" s="10"/>
      <c r="M6" s="35"/>
      <c r="N6" s="67"/>
      <c r="O6" s="67"/>
      <c r="P6" s="67"/>
      <c r="Q6" s="67"/>
      <c r="R6" s="67"/>
      <c r="S6" s="67"/>
      <c r="T6" s="67"/>
      <c r="U6" s="67"/>
      <c r="V6" s="67"/>
      <c r="W6" s="67"/>
      <c r="X6" s="1"/>
      <c r="Y6" s="1"/>
    </row>
    <row r="7" spans="1:25" ht="16.649999999999999" customHeight="1" x14ac:dyDescent="0.3">
      <c r="A7" s="57">
        <v>4</v>
      </c>
      <c r="B7" s="72">
        <v>0.98099999999999998</v>
      </c>
      <c r="C7" s="73">
        <v>0.98299999999999998</v>
      </c>
      <c r="D7" s="73">
        <v>0.98399999999999999</v>
      </c>
      <c r="E7" s="73">
        <v>0.98399999999999999</v>
      </c>
      <c r="F7" s="73">
        <v>0.98299999999999998</v>
      </c>
      <c r="G7" s="73">
        <v>0.98099999999999998</v>
      </c>
      <c r="H7" s="73">
        <v>0.98099999999999998</v>
      </c>
      <c r="I7" s="73">
        <v>0.98099999999999998</v>
      </c>
      <c r="J7" s="73">
        <v>0.98099999999999998</v>
      </c>
      <c r="K7" s="74">
        <v>0.98199999999999998</v>
      </c>
      <c r="L7" s="10"/>
      <c r="M7" s="35"/>
      <c r="N7" s="67"/>
      <c r="O7" s="67"/>
      <c r="P7" s="67"/>
      <c r="Q7" s="67"/>
      <c r="R7" s="67"/>
      <c r="S7" s="67"/>
      <c r="T7" s="67"/>
      <c r="U7" s="67"/>
      <c r="V7" s="67"/>
      <c r="W7" s="67"/>
      <c r="X7" s="1"/>
      <c r="Y7" s="1"/>
    </row>
    <row r="8" spans="1:25" ht="16.649999999999999" customHeight="1" x14ac:dyDescent="0.3">
      <c r="A8" s="57">
        <v>5</v>
      </c>
      <c r="B8" s="72">
        <v>0.95299999999999996</v>
      </c>
      <c r="C8" s="73">
        <v>0.95899999999999996</v>
      </c>
      <c r="D8" s="73">
        <v>0.96099999999999997</v>
      </c>
      <c r="E8" s="73">
        <v>0.96199999999999997</v>
      </c>
      <c r="F8" s="73">
        <v>0.96199999999999997</v>
      </c>
      <c r="G8" s="73">
        <v>0.96199999999999997</v>
      </c>
      <c r="H8" s="73">
        <v>0.96299999999999997</v>
      </c>
      <c r="I8" s="73">
        <v>0.96399999999999997</v>
      </c>
      <c r="J8" s="73">
        <v>0.96499999999999997</v>
      </c>
      <c r="K8" s="74">
        <v>0.96599999999999997</v>
      </c>
      <c r="L8" s="10"/>
      <c r="M8" s="35"/>
      <c r="N8" s="67"/>
      <c r="O8" s="67"/>
      <c r="P8" s="67"/>
      <c r="Q8" s="67"/>
      <c r="R8" s="67"/>
      <c r="S8" s="67"/>
      <c r="T8" s="67"/>
      <c r="U8" s="67"/>
      <c r="V8" s="67"/>
      <c r="W8" s="67"/>
      <c r="X8" s="1"/>
      <c r="Y8" s="1"/>
    </row>
    <row r="9" spans="1:25" ht="24.9" customHeight="1" x14ac:dyDescent="0.3">
      <c r="A9" s="57">
        <v>6</v>
      </c>
      <c r="B9" s="72">
        <v>0.92400000000000004</v>
      </c>
      <c r="C9" s="73">
        <v>0.93100000000000005</v>
      </c>
      <c r="D9" s="73">
        <v>0.93600000000000005</v>
      </c>
      <c r="E9" s="73">
        <v>0.93899999999999995</v>
      </c>
      <c r="F9" s="73">
        <v>0.94099999999999995</v>
      </c>
      <c r="G9" s="73">
        <v>0.94199999999999995</v>
      </c>
      <c r="H9" s="73">
        <v>0.94399999999999995</v>
      </c>
      <c r="I9" s="73">
        <v>0.94499999999999995</v>
      </c>
      <c r="J9" s="73">
        <v>0.94699999999999995</v>
      </c>
      <c r="K9" s="74">
        <v>0.94899999999999995</v>
      </c>
      <c r="L9" s="10"/>
      <c r="M9" s="617" t="s">
        <v>27</v>
      </c>
      <c r="N9" s="618"/>
      <c r="O9" s="618"/>
      <c r="P9" s="67"/>
      <c r="Q9" s="67"/>
      <c r="R9" s="67"/>
      <c r="S9" s="67"/>
      <c r="T9" s="67"/>
      <c r="U9" s="67"/>
      <c r="V9" s="67"/>
      <c r="W9" s="67"/>
      <c r="X9" s="1"/>
      <c r="Y9" s="1"/>
    </row>
    <row r="10" spans="1:25" ht="16.649999999999999" customHeight="1" thickBot="1" x14ac:dyDescent="0.35">
      <c r="A10" s="57">
        <v>7</v>
      </c>
      <c r="B10" s="72">
        <v>0.89500000000000002</v>
      </c>
      <c r="C10" s="73">
        <v>0.90400000000000003</v>
      </c>
      <c r="D10" s="73">
        <v>0.91100000000000003</v>
      </c>
      <c r="E10" s="73">
        <v>0.91500000000000004</v>
      </c>
      <c r="F10" s="73">
        <v>0.91900000000000004</v>
      </c>
      <c r="G10" s="73">
        <v>0.92100000000000004</v>
      </c>
      <c r="H10" s="73">
        <v>0.92400000000000004</v>
      </c>
      <c r="I10" s="73">
        <v>0.92700000000000005</v>
      </c>
      <c r="J10" s="73">
        <v>0.92900000000000005</v>
      </c>
      <c r="K10" s="74">
        <v>0.93100000000000005</v>
      </c>
      <c r="L10" s="10"/>
      <c r="M10" s="35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1"/>
      <c r="Y10" s="1"/>
    </row>
    <row r="11" spans="1:25" ht="16.649999999999999" customHeight="1" thickBot="1" x14ac:dyDescent="0.35">
      <c r="A11" s="57">
        <v>8</v>
      </c>
      <c r="B11" s="72">
        <v>0.86399999999999999</v>
      </c>
      <c r="C11" s="73">
        <v>0.876</v>
      </c>
      <c r="D11" s="73">
        <v>0.88400000000000001</v>
      </c>
      <c r="E11" s="73">
        <v>0.88900000000000001</v>
      </c>
      <c r="F11" s="73">
        <v>0.89500000000000002</v>
      </c>
      <c r="G11" s="73">
        <v>0.9</v>
      </c>
      <c r="H11" s="73">
        <v>0.90400000000000003</v>
      </c>
      <c r="I11" s="73">
        <v>0.90700000000000003</v>
      </c>
      <c r="J11" s="73">
        <v>0.90900000000000003</v>
      </c>
      <c r="K11" s="74">
        <v>0.91200000000000003</v>
      </c>
      <c r="L11" s="10"/>
      <c r="M11" s="619" t="s">
        <v>18</v>
      </c>
      <c r="N11" s="620"/>
      <c r="O11" s="621"/>
      <c r="P11" s="67"/>
      <c r="Q11" s="67"/>
      <c r="R11" s="67"/>
      <c r="S11" s="67"/>
      <c r="T11" s="67"/>
      <c r="U11" s="67"/>
      <c r="V11" s="67"/>
      <c r="W11" s="67"/>
      <c r="X11" s="1"/>
      <c r="Y11" s="1"/>
    </row>
    <row r="12" spans="1:25" ht="16.649999999999999" customHeight="1" thickBot="1" x14ac:dyDescent="0.35">
      <c r="A12" s="57">
        <v>9</v>
      </c>
      <c r="B12" s="72">
        <v>0.83599999999999997</v>
      </c>
      <c r="C12" s="73">
        <v>0.84799999999999998</v>
      </c>
      <c r="D12" s="73">
        <v>0.85699999999999998</v>
      </c>
      <c r="E12" s="73">
        <v>0.86399999999999999</v>
      </c>
      <c r="F12" s="73">
        <v>0.873</v>
      </c>
      <c r="G12" s="73">
        <v>0.878</v>
      </c>
      <c r="H12" s="73">
        <v>0.88300000000000001</v>
      </c>
      <c r="I12" s="73">
        <v>0.88700000000000001</v>
      </c>
      <c r="J12" s="73">
        <v>0.89</v>
      </c>
      <c r="K12" s="74">
        <v>0.89300000000000002</v>
      </c>
      <c r="L12" s="10"/>
      <c r="M12" s="155" t="s">
        <v>2</v>
      </c>
      <c r="N12" s="147" t="s">
        <v>39</v>
      </c>
      <c r="O12" s="148" t="s">
        <v>19</v>
      </c>
      <c r="P12" s="67"/>
      <c r="Q12" s="67"/>
      <c r="R12" s="67"/>
      <c r="S12" s="67"/>
      <c r="T12" s="67"/>
      <c r="U12" s="67"/>
      <c r="V12" s="67"/>
      <c r="W12" s="67"/>
      <c r="X12" s="1"/>
      <c r="Y12" s="1"/>
    </row>
    <row r="13" spans="1:25" ht="16.649999999999999" customHeight="1" thickBot="1" x14ac:dyDescent="0.35">
      <c r="A13" s="57">
        <v>10</v>
      </c>
      <c r="B13" s="72">
        <v>0.80800000000000005</v>
      </c>
      <c r="C13" s="73">
        <v>0.82199999999999995</v>
      </c>
      <c r="D13" s="73">
        <v>0.83199999999999996</v>
      </c>
      <c r="E13" s="73">
        <v>0.83899999999999997</v>
      </c>
      <c r="F13" s="73">
        <v>0.85099999999999998</v>
      </c>
      <c r="G13" s="73">
        <v>0.85799999999999998</v>
      </c>
      <c r="H13" s="73">
        <v>0.86399999999999999</v>
      </c>
      <c r="I13" s="73">
        <v>0.86899999999999999</v>
      </c>
      <c r="J13" s="73">
        <v>0.873</v>
      </c>
      <c r="K13" s="74">
        <v>0.876</v>
      </c>
      <c r="L13" s="10"/>
      <c r="M13" s="394">
        <v>3.2</v>
      </c>
      <c r="N13" s="463">
        <v>9.5</v>
      </c>
      <c r="O13" s="148">
        <f>Interpolate2DTable(M13,N13,A4:K33)</f>
        <v>0.99539999999999995</v>
      </c>
      <c r="P13" s="67"/>
      <c r="Q13" s="67"/>
      <c r="R13" s="67"/>
      <c r="S13" s="67"/>
      <c r="T13" s="67"/>
      <c r="U13" s="67"/>
      <c r="V13" s="67"/>
      <c r="W13" s="67"/>
      <c r="X13" s="1"/>
      <c r="Y13" s="1"/>
    </row>
    <row r="14" spans="1:25" ht="24.9" customHeight="1" x14ac:dyDescent="0.3">
      <c r="A14" s="57">
        <v>11</v>
      </c>
      <c r="B14" s="72">
        <v>0.77900000000000003</v>
      </c>
      <c r="C14" s="73">
        <v>0.79500000000000004</v>
      </c>
      <c r="D14" s="73">
        <v>0.80600000000000005</v>
      </c>
      <c r="E14" s="73">
        <v>0.81499999999999995</v>
      </c>
      <c r="F14" s="73">
        <v>0.82899999999999996</v>
      </c>
      <c r="G14" s="73">
        <v>0.83599999999999997</v>
      </c>
      <c r="H14" s="73">
        <v>0.84399999999999997</v>
      </c>
      <c r="I14" s="73">
        <v>0.84899999999999998</v>
      </c>
      <c r="J14" s="73">
        <v>0.85299999999999998</v>
      </c>
      <c r="K14" s="74">
        <v>0.85599999999999998</v>
      </c>
      <c r="L14" s="10"/>
      <c r="M14" s="35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1"/>
      <c r="Y14" s="1"/>
    </row>
    <row r="15" spans="1:25" ht="16.649999999999999" customHeight="1" x14ac:dyDescent="0.3">
      <c r="A15" s="57">
        <v>12</v>
      </c>
      <c r="B15" s="72">
        <v>0.752</v>
      </c>
      <c r="C15" s="73">
        <v>0.76800000000000002</v>
      </c>
      <c r="D15" s="73">
        <v>0.78</v>
      </c>
      <c r="E15" s="73">
        <v>0.79</v>
      </c>
      <c r="F15" s="73">
        <v>0.80500000000000005</v>
      </c>
      <c r="G15" s="73">
        <v>0.81399999999999995</v>
      </c>
      <c r="H15" s="73">
        <v>0.82299999999999995</v>
      </c>
      <c r="I15" s="73">
        <v>0.83</v>
      </c>
      <c r="J15" s="73">
        <v>0.83399999999999996</v>
      </c>
      <c r="K15" s="74">
        <v>0.83799999999999997</v>
      </c>
      <c r="L15" s="10"/>
      <c r="M15" s="35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1"/>
      <c r="Y15" s="1"/>
    </row>
    <row r="16" spans="1:25" ht="16.649999999999999" customHeight="1" x14ac:dyDescent="0.3">
      <c r="A16" s="57">
        <v>13</v>
      </c>
      <c r="B16" s="72">
        <v>0.72699999999999998</v>
      </c>
      <c r="C16" s="73">
        <v>0.74399999999999999</v>
      </c>
      <c r="D16" s="73">
        <v>0.75600000000000001</v>
      </c>
      <c r="E16" s="73">
        <v>0.76700000000000002</v>
      </c>
      <c r="F16" s="73">
        <v>0.78400000000000003</v>
      </c>
      <c r="G16" s="73">
        <v>0.79400000000000004</v>
      </c>
      <c r="H16" s="73">
        <v>0.80300000000000005</v>
      </c>
      <c r="I16" s="73">
        <v>0.80900000000000005</v>
      </c>
      <c r="J16" s="73">
        <v>0.81499999999999995</v>
      </c>
      <c r="K16" s="74">
        <v>0.82</v>
      </c>
      <c r="L16" s="10"/>
      <c r="M16" s="35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1"/>
      <c r="Y16" s="1"/>
    </row>
    <row r="17" spans="1:25" ht="16.649999999999999" customHeight="1" x14ac:dyDescent="0.3">
      <c r="A17" s="57">
        <v>14</v>
      </c>
      <c r="B17" s="72">
        <v>0.70199999999999996</v>
      </c>
      <c r="C17" s="73">
        <v>0.71799999999999997</v>
      </c>
      <c r="D17" s="73">
        <v>0.73199999999999998</v>
      </c>
      <c r="E17" s="73">
        <v>0.74399999999999999</v>
      </c>
      <c r="F17" s="73">
        <v>0.76200000000000001</v>
      </c>
      <c r="G17" s="73">
        <v>0.77300000000000002</v>
      </c>
      <c r="H17" s="73">
        <v>0.78200000000000003</v>
      </c>
      <c r="I17" s="73">
        <v>0.79</v>
      </c>
      <c r="J17" s="73">
        <v>0.79600000000000004</v>
      </c>
      <c r="K17" s="74">
        <v>0.80200000000000005</v>
      </c>
      <c r="L17" s="10"/>
      <c r="M17" s="35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1"/>
      <c r="Y17" s="1"/>
    </row>
    <row r="18" spans="1:25" ht="16.649999999999999" customHeight="1" x14ac:dyDescent="0.3">
      <c r="A18" s="57">
        <v>15</v>
      </c>
      <c r="B18" s="72">
        <v>0.67700000000000005</v>
      </c>
      <c r="C18" s="73">
        <v>0.69399999999999995</v>
      </c>
      <c r="D18" s="73">
        <v>0.70699999999999996</v>
      </c>
      <c r="E18" s="73">
        <v>0.72</v>
      </c>
      <c r="F18" s="73">
        <v>0.74</v>
      </c>
      <c r="G18" s="73">
        <v>0.752</v>
      </c>
      <c r="H18" s="73">
        <v>0.76200000000000001</v>
      </c>
      <c r="I18" s="73">
        <v>0.77100000000000002</v>
      </c>
      <c r="J18" s="73">
        <v>0.77700000000000002</v>
      </c>
      <c r="K18" s="74">
        <v>0.78200000000000003</v>
      </c>
      <c r="L18" s="10"/>
      <c r="M18" s="35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1"/>
      <c r="Y18" s="1"/>
    </row>
    <row r="19" spans="1:25" ht="24.9" customHeight="1" x14ac:dyDescent="0.3">
      <c r="A19" s="57">
        <v>16</v>
      </c>
      <c r="B19" s="72">
        <v>0.65400000000000003</v>
      </c>
      <c r="C19" s="73">
        <v>0.67100000000000004</v>
      </c>
      <c r="D19" s="73">
        <v>0.68500000000000005</v>
      </c>
      <c r="E19" s="73">
        <v>0.69699999999999995</v>
      </c>
      <c r="F19" s="73">
        <v>0.71899999999999997</v>
      </c>
      <c r="G19" s="73">
        <v>0.73099999999999998</v>
      </c>
      <c r="H19" s="73">
        <v>0.74299999999999999</v>
      </c>
      <c r="I19" s="73">
        <v>0.751</v>
      </c>
      <c r="J19" s="73">
        <v>0.75800000000000001</v>
      </c>
      <c r="K19" s="74">
        <v>0.76400000000000001</v>
      </c>
      <c r="L19" s="10"/>
      <c r="M19" s="35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1"/>
      <c r="Y19" s="1"/>
    </row>
    <row r="20" spans="1:25" ht="16.649999999999999" customHeight="1" x14ac:dyDescent="0.3">
      <c r="A20" s="57">
        <v>17</v>
      </c>
      <c r="B20" s="72">
        <v>0.63200000000000001</v>
      </c>
      <c r="C20" s="73">
        <v>0.64900000000000002</v>
      </c>
      <c r="D20" s="73">
        <v>0.66400000000000003</v>
      </c>
      <c r="E20" s="73">
        <v>0.67600000000000005</v>
      </c>
      <c r="F20" s="73">
        <v>0.69899999999999995</v>
      </c>
      <c r="G20" s="73">
        <v>0.71299999999999997</v>
      </c>
      <c r="H20" s="73">
        <v>0.72399999999999998</v>
      </c>
      <c r="I20" s="73">
        <v>0.73199999999999998</v>
      </c>
      <c r="J20" s="73">
        <v>0.73899999999999999</v>
      </c>
      <c r="K20" s="74">
        <v>0.746</v>
      </c>
      <c r="L20" s="10"/>
      <c r="M20" s="35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1"/>
      <c r="Y20" s="1"/>
    </row>
    <row r="21" spans="1:25" ht="16.649999999999999" customHeight="1" x14ac:dyDescent="0.3">
      <c r="A21" s="57">
        <v>18</v>
      </c>
      <c r="B21" s="72">
        <v>0.60899999999999999</v>
      </c>
      <c r="C21" s="73">
        <v>0.627</v>
      </c>
      <c r="D21" s="73">
        <v>0.64100000000000001</v>
      </c>
      <c r="E21" s="73">
        <v>0.65400000000000003</v>
      </c>
      <c r="F21" s="73">
        <v>0.67700000000000005</v>
      </c>
      <c r="G21" s="73">
        <v>0.69199999999999995</v>
      </c>
      <c r="H21" s="73">
        <v>0.70399999999999996</v>
      </c>
      <c r="I21" s="73">
        <v>0.71299999999999997</v>
      </c>
      <c r="J21" s="73">
        <v>0.72</v>
      </c>
      <c r="K21" s="74">
        <v>0.72699999999999998</v>
      </c>
      <c r="L21" s="10"/>
      <c r="M21" s="35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1"/>
      <c r="Y21" s="1"/>
    </row>
    <row r="22" spans="1:25" ht="16.649999999999999" customHeight="1" x14ac:dyDescent="0.3">
      <c r="A22" s="57">
        <v>19</v>
      </c>
      <c r="B22" s="72">
        <v>0.58799999999999997</v>
      </c>
      <c r="C22" s="73">
        <v>0.60599999999999998</v>
      </c>
      <c r="D22" s="73">
        <v>0.621</v>
      </c>
      <c r="E22" s="73">
        <v>0.63400000000000001</v>
      </c>
      <c r="F22" s="73">
        <v>0.65700000000000003</v>
      </c>
      <c r="G22" s="73">
        <v>0.67300000000000004</v>
      </c>
      <c r="H22" s="73">
        <v>0.68600000000000005</v>
      </c>
      <c r="I22" s="73">
        <v>0.69499999999999995</v>
      </c>
      <c r="J22" s="73">
        <v>0.70299999999999996</v>
      </c>
      <c r="K22" s="74">
        <v>0.70899999999999996</v>
      </c>
      <c r="L22" s="10"/>
      <c r="M22" s="35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1"/>
      <c r="Y22" s="1"/>
    </row>
    <row r="23" spans="1:25" ht="16.649999999999999" customHeight="1" x14ac:dyDescent="0.3">
      <c r="A23" s="57">
        <v>20</v>
      </c>
      <c r="B23" s="72">
        <v>0.56799999999999995</v>
      </c>
      <c r="C23" s="73">
        <v>0.58499999999999996</v>
      </c>
      <c r="D23" s="73">
        <v>0.6</v>
      </c>
      <c r="E23" s="73">
        <v>0.61299999999999999</v>
      </c>
      <c r="F23" s="73">
        <v>0.63700000000000001</v>
      </c>
      <c r="G23" s="73">
        <v>0.65300000000000002</v>
      </c>
      <c r="H23" s="73">
        <v>0.66700000000000004</v>
      </c>
      <c r="I23" s="73">
        <v>0.67700000000000005</v>
      </c>
      <c r="J23" s="73">
        <v>0.68500000000000005</v>
      </c>
      <c r="K23" s="74">
        <v>0.69199999999999995</v>
      </c>
      <c r="L23" s="10"/>
      <c r="M23" s="35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1"/>
      <c r="Y23" s="1"/>
    </row>
    <row r="24" spans="1:25" ht="24.9" customHeight="1" x14ac:dyDescent="0.3">
      <c r="A24" s="57">
        <v>21</v>
      </c>
      <c r="B24" s="72">
        <v>0.54800000000000004</v>
      </c>
      <c r="C24" s="73">
        <v>0.56499999999999995</v>
      </c>
      <c r="D24" s="73">
        <v>0.57899999999999996</v>
      </c>
      <c r="E24" s="73">
        <v>0.59299999999999997</v>
      </c>
      <c r="F24" s="73">
        <v>0.61699999999999999</v>
      </c>
      <c r="G24" s="73">
        <v>0.63400000000000001</v>
      </c>
      <c r="H24" s="73">
        <v>0.64800000000000002</v>
      </c>
      <c r="I24" s="73">
        <v>0.65900000000000003</v>
      </c>
      <c r="J24" s="73">
        <v>0.66700000000000004</v>
      </c>
      <c r="K24" s="74">
        <v>0.67400000000000004</v>
      </c>
      <c r="L24" s="10"/>
      <c r="M24" s="35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1"/>
      <c r="Y24" s="1"/>
    </row>
    <row r="25" spans="1:25" ht="16.649999999999999" customHeight="1" x14ac:dyDescent="0.3">
      <c r="A25" s="57">
        <v>22</v>
      </c>
      <c r="B25" s="72">
        <v>0.52800000000000002</v>
      </c>
      <c r="C25" s="73">
        <v>0.54600000000000004</v>
      </c>
      <c r="D25" s="73">
        <v>0.56000000000000005</v>
      </c>
      <c r="E25" s="73">
        <v>0.57499999999999996</v>
      </c>
      <c r="F25" s="73">
        <v>0.59799999999999998</v>
      </c>
      <c r="G25" s="73">
        <v>0.61499999999999999</v>
      </c>
      <c r="H25" s="73">
        <v>0.63</v>
      </c>
      <c r="I25" s="73">
        <v>0.64100000000000001</v>
      </c>
      <c r="J25" s="73">
        <v>0.64900000000000002</v>
      </c>
      <c r="K25" s="74">
        <v>0.65600000000000003</v>
      </c>
      <c r="L25" s="10"/>
      <c r="M25" s="35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1"/>
      <c r="Y25" s="1"/>
    </row>
    <row r="26" spans="1:25" ht="16.649999999999999" customHeight="1" x14ac:dyDescent="0.3">
      <c r="A26" s="57">
        <v>23</v>
      </c>
      <c r="B26" s="72">
        <v>0.50900000000000001</v>
      </c>
      <c r="C26" s="73">
        <v>0.52700000000000002</v>
      </c>
      <c r="D26" s="73">
        <v>0.54200000000000004</v>
      </c>
      <c r="E26" s="73">
        <v>0.55600000000000005</v>
      </c>
      <c r="F26" s="73">
        <v>0.57999999999999996</v>
      </c>
      <c r="G26" s="73">
        <v>0.59799999999999998</v>
      </c>
      <c r="H26" s="73">
        <v>0.61199999999999999</v>
      </c>
      <c r="I26" s="73">
        <v>0.623</v>
      </c>
      <c r="J26" s="73">
        <v>0.63200000000000001</v>
      </c>
      <c r="K26" s="74">
        <v>0.63800000000000001</v>
      </c>
      <c r="L26" s="10"/>
      <c r="M26" s="35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1"/>
      <c r="Y26" s="1"/>
    </row>
    <row r="27" spans="1:25" ht="16.649999999999999" customHeight="1" x14ac:dyDescent="0.3">
      <c r="A27" s="57">
        <v>24</v>
      </c>
      <c r="B27" s="72">
        <v>0.49299999999999999</v>
      </c>
      <c r="C27" s="73">
        <v>0.50900000000000001</v>
      </c>
      <c r="D27" s="73">
        <v>0.52400000000000002</v>
      </c>
      <c r="E27" s="73">
        <v>0.53800000000000003</v>
      </c>
      <c r="F27" s="73">
        <v>0.56299999999999994</v>
      </c>
      <c r="G27" s="73">
        <v>0.57999999999999996</v>
      </c>
      <c r="H27" s="73">
        <v>0.59499999999999997</v>
      </c>
      <c r="I27" s="73">
        <v>0.60599999999999998</v>
      </c>
      <c r="J27" s="73">
        <v>0.61399999999999999</v>
      </c>
      <c r="K27" s="74">
        <v>0.621</v>
      </c>
      <c r="L27" s="10"/>
      <c r="M27" s="35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1"/>
      <c r="Y27" s="1"/>
    </row>
    <row r="28" spans="1:25" ht="16.649999999999999" customHeight="1" x14ac:dyDescent="0.3">
      <c r="A28" s="57">
        <v>25</v>
      </c>
      <c r="B28" s="72">
        <v>0.47499999999999998</v>
      </c>
      <c r="C28" s="73">
        <v>0.49199999999999999</v>
      </c>
      <c r="D28" s="73">
        <v>0.50700000000000001</v>
      </c>
      <c r="E28" s="73">
        <v>0.52</v>
      </c>
      <c r="F28" s="73">
        <v>0.54500000000000004</v>
      </c>
      <c r="G28" s="73">
        <v>0.56299999999999994</v>
      </c>
      <c r="H28" s="73">
        <v>0.57799999999999996</v>
      </c>
      <c r="I28" s="73">
        <v>0.58899999999999997</v>
      </c>
      <c r="J28" s="73">
        <v>0.59799999999999998</v>
      </c>
      <c r="K28" s="74">
        <v>0.60499999999999998</v>
      </c>
      <c r="L28" s="10"/>
      <c r="M28" s="35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1"/>
      <c r="Y28" s="1"/>
    </row>
    <row r="29" spans="1:25" ht="24.9" customHeight="1" x14ac:dyDescent="0.3">
      <c r="A29" s="57">
        <v>26</v>
      </c>
      <c r="B29" s="72">
        <v>0.45800000000000002</v>
      </c>
      <c r="C29" s="73">
        <v>0.47499999999999998</v>
      </c>
      <c r="D29" s="73">
        <v>0.49</v>
      </c>
      <c r="E29" s="73">
        <v>0.503</v>
      </c>
      <c r="F29" s="73">
        <v>0.52900000000000003</v>
      </c>
      <c r="G29" s="73">
        <v>0.54700000000000004</v>
      </c>
      <c r="H29" s="73">
        <v>0.56200000000000006</v>
      </c>
      <c r="I29" s="73">
        <v>0.57399999999999995</v>
      </c>
      <c r="J29" s="73">
        <v>0.58199999999999996</v>
      </c>
      <c r="K29" s="74">
        <v>0.58899999999999997</v>
      </c>
      <c r="L29" s="10"/>
      <c r="M29" s="35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1"/>
      <c r="Y29" s="1"/>
    </row>
    <row r="30" spans="1:25" s="36" customFormat="1" ht="16.649999999999999" customHeight="1" x14ac:dyDescent="0.3">
      <c r="A30" s="57">
        <v>27</v>
      </c>
      <c r="B30" s="72">
        <v>0.442</v>
      </c>
      <c r="C30" s="73">
        <v>0.45900000000000002</v>
      </c>
      <c r="D30" s="73">
        <v>0.47299999999999998</v>
      </c>
      <c r="E30" s="73">
        <v>0.48599999999999999</v>
      </c>
      <c r="F30" s="73">
        <v>0.51200000000000001</v>
      </c>
      <c r="G30" s="73">
        <v>0.53100000000000003</v>
      </c>
      <c r="H30" s="73">
        <v>0.54600000000000004</v>
      </c>
      <c r="I30" s="73">
        <v>0.55600000000000005</v>
      </c>
      <c r="J30" s="73">
        <v>0.56499999999999995</v>
      </c>
      <c r="K30" s="74">
        <v>0.57299999999999995</v>
      </c>
      <c r="L30" s="60"/>
      <c r="M30" s="69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5"/>
      <c r="Y30" s="5"/>
    </row>
    <row r="31" spans="1:25" s="36" customFormat="1" ht="16.649999999999999" customHeight="1" x14ac:dyDescent="0.3">
      <c r="A31" s="57">
        <v>28</v>
      </c>
      <c r="B31" s="72">
        <v>0.42699999999999999</v>
      </c>
      <c r="C31" s="73">
        <v>0.44400000000000001</v>
      </c>
      <c r="D31" s="73">
        <v>0.45800000000000002</v>
      </c>
      <c r="E31" s="73">
        <v>0.47</v>
      </c>
      <c r="F31" s="73">
        <v>0.496</v>
      </c>
      <c r="G31" s="73">
        <v>0.51500000000000001</v>
      </c>
      <c r="H31" s="73">
        <v>0.52900000000000003</v>
      </c>
      <c r="I31" s="73">
        <v>0.54100000000000004</v>
      </c>
      <c r="J31" s="73">
        <v>0.55000000000000004</v>
      </c>
      <c r="K31" s="74">
        <v>0.55800000000000005</v>
      </c>
      <c r="L31" s="60"/>
      <c r="M31" s="69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5"/>
      <c r="Y31" s="5"/>
    </row>
    <row r="32" spans="1:25" s="36" customFormat="1" ht="16.649999999999999" customHeight="1" x14ac:dyDescent="0.3">
      <c r="A32" s="57">
        <v>29</v>
      </c>
      <c r="B32" s="72">
        <v>0.41299999999999998</v>
      </c>
      <c r="C32" s="73">
        <v>0.42899999999999999</v>
      </c>
      <c r="D32" s="73">
        <v>0.443</v>
      </c>
      <c r="E32" s="73">
        <v>0.45500000000000002</v>
      </c>
      <c r="F32" s="73">
        <v>0.48099999999999998</v>
      </c>
      <c r="G32" s="73">
        <v>0.499</v>
      </c>
      <c r="H32" s="73">
        <v>0.51400000000000001</v>
      </c>
      <c r="I32" s="73">
        <v>0.52600000000000002</v>
      </c>
      <c r="J32" s="73">
        <v>0.53500000000000003</v>
      </c>
      <c r="K32" s="74">
        <v>0.54200000000000004</v>
      </c>
      <c r="L32" s="60"/>
      <c r="M32" s="69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5"/>
      <c r="Y32" s="5"/>
    </row>
    <row r="33" spans="1:25" s="36" customFormat="1" ht="16.649999999999999" customHeight="1" thickBot="1" x14ac:dyDescent="0.35">
      <c r="A33" s="59">
        <v>30</v>
      </c>
      <c r="B33" s="75">
        <v>0.39900000000000002</v>
      </c>
      <c r="C33" s="76">
        <v>0.41399999999999998</v>
      </c>
      <c r="D33" s="76">
        <v>0.42799999999999999</v>
      </c>
      <c r="E33" s="76">
        <v>0.44</v>
      </c>
      <c r="F33" s="76">
        <v>0.46500000000000002</v>
      </c>
      <c r="G33" s="76">
        <v>0.48299999999999998</v>
      </c>
      <c r="H33" s="76">
        <v>0.499</v>
      </c>
      <c r="I33" s="76">
        <v>0.51</v>
      </c>
      <c r="J33" s="76">
        <v>0.51900000000000002</v>
      </c>
      <c r="K33" s="77">
        <v>0.52700000000000002</v>
      </c>
      <c r="L33" s="60"/>
      <c r="M33" s="69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5"/>
      <c r="Y33" s="5"/>
    </row>
    <row r="34" spans="1:25" ht="17.25" customHeight="1" thickTop="1" x14ac:dyDescent="0.3">
      <c r="A34" s="10"/>
      <c r="B34" s="10"/>
      <c r="C34" s="10"/>
      <c r="D34" s="10"/>
      <c r="E34" s="24"/>
      <c r="F34" s="70"/>
      <c r="G34" s="70"/>
      <c r="H34" s="70"/>
      <c r="I34" s="70"/>
      <c r="J34" s="70"/>
      <c r="K34" s="70"/>
      <c r="L34" s="10"/>
      <c r="M34" s="35"/>
      <c r="N34" s="39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7.25" customHeight="1" x14ac:dyDescent="0.3">
      <c r="A35" s="10"/>
      <c r="B35" s="10"/>
      <c r="C35" s="10"/>
      <c r="D35" s="10"/>
      <c r="E35" s="24"/>
      <c r="F35" s="70"/>
      <c r="G35" s="70"/>
      <c r="H35" s="70"/>
      <c r="I35" s="70"/>
      <c r="J35" s="70"/>
      <c r="K35" s="70"/>
      <c r="L35" s="10"/>
      <c r="M35" s="35"/>
      <c r="N35" s="3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7.25" customHeight="1" x14ac:dyDescent="0.3">
      <c r="A36" s="10"/>
      <c r="B36" s="10"/>
      <c r="C36" s="10"/>
      <c r="D36" s="10"/>
      <c r="E36" s="24"/>
      <c r="F36" s="24"/>
      <c r="G36" s="24"/>
      <c r="H36" s="24"/>
      <c r="I36" s="24"/>
      <c r="J36" s="24"/>
      <c r="K36" s="24"/>
      <c r="L36" s="10"/>
      <c r="M36" s="35"/>
      <c r="N36" s="39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7.25" customHeight="1" x14ac:dyDescent="0.3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35"/>
      <c r="N37" s="39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7.25" customHeight="1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35"/>
      <c r="N38" s="39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7.25" customHeight="1" x14ac:dyDescent="0.3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35"/>
      <c r="N39" s="3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35"/>
      <c r="N40" s="39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35"/>
      <c r="N41" s="39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35"/>
      <c r="N42" s="39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35"/>
      <c r="N43" s="39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39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">
      <c r="A46" s="6"/>
      <c r="B46" s="6"/>
      <c r="C46" s="6"/>
      <c r="D46" s="6"/>
      <c r="E46" s="6"/>
      <c r="F46" s="6"/>
      <c r="G46" s="6"/>
      <c r="H46" s="10"/>
      <c r="I46" s="10"/>
      <c r="J46" s="10"/>
      <c r="K46" s="10"/>
      <c r="L46" s="6"/>
      <c r="M46" s="39"/>
      <c r="N46" s="39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">
      <c r="A47" s="6"/>
      <c r="B47" s="6"/>
      <c r="C47" s="6"/>
      <c r="D47" s="6"/>
      <c r="E47" s="6"/>
      <c r="F47" s="6"/>
      <c r="G47" s="6"/>
      <c r="H47" s="10"/>
      <c r="I47" s="10"/>
      <c r="J47" s="10"/>
      <c r="K47" s="10"/>
      <c r="L47" s="6"/>
      <c r="M47" s="39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">
      <c r="A48" s="6"/>
      <c r="B48" s="6"/>
      <c r="C48" s="6"/>
      <c r="D48" s="6"/>
      <c r="E48" s="6"/>
      <c r="F48" s="6"/>
      <c r="G48" s="6"/>
      <c r="H48" s="10"/>
      <c r="I48" s="10"/>
      <c r="J48" s="10"/>
      <c r="K48" s="10"/>
      <c r="L48" s="6"/>
      <c r="M48" s="39"/>
      <c r="N48" s="39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6"/>
      <c r="B49" s="6"/>
      <c r="C49" s="6"/>
      <c r="D49" s="6"/>
      <c r="E49" s="6"/>
      <c r="F49" s="6"/>
      <c r="G49" s="6"/>
      <c r="H49" s="10"/>
      <c r="I49" s="10"/>
      <c r="J49" s="10"/>
      <c r="K49" s="10"/>
      <c r="L49" s="6"/>
      <c r="M49" s="39"/>
      <c r="N49" s="39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3">
      <c r="H50" s="10"/>
      <c r="I50" s="10"/>
      <c r="J50" s="10"/>
      <c r="K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3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3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3">
      <c r="H53" s="10"/>
      <c r="I53" s="10"/>
      <c r="J53" s="10"/>
      <c r="K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3">
      <c r="H54" s="10"/>
      <c r="I54" s="10"/>
      <c r="J54" s="10"/>
      <c r="K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3">
      <c r="H55" s="10"/>
      <c r="I55" s="10"/>
      <c r="J55" s="10"/>
      <c r="K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3">
      <c r="H56" s="10"/>
      <c r="I56" s="10"/>
      <c r="J56" s="10"/>
      <c r="K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3">
      <c r="H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3">
      <c r="H58" s="1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3">
      <c r="H59" s="10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3">
      <c r="H60" s="10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3">
      <c r="H61" s="10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3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3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3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3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3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3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3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3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3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3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3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3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3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3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3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3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3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3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3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3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3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3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3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3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3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3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3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3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3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3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3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3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3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3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3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3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3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3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3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3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3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3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3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3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3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3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3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3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3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3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3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3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3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3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3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3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3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3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3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3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3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3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3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3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3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3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3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3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3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3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3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3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3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3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3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3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3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3:25" x14ac:dyDescent="0.3"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3:25" x14ac:dyDescent="0.3"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3:25" x14ac:dyDescent="0.3"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3:25" x14ac:dyDescent="0.3"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</sheetData>
  <mergeCells count="4">
    <mergeCell ref="A1:K1"/>
    <mergeCell ref="A2:K2"/>
    <mergeCell ref="M11:O11"/>
    <mergeCell ref="M9:O9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3"/>
  <dimension ref="A1:O61"/>
  <sheetViews>
    <sheetView showGridLines="0" zoomScaleNormal="100" workbookViewId="0">
      <selection activeCell="A2" sqref="A2:K2"/>
    </sheetView>
  </sheetViews>
  <sheetFormatPr defaultColWidth="9.07421875" defaultRowHeight="12.45" x14ac:dyDescent="0.3"/>
  <cols>
    <col min="1" max="1" width="9.84375" style="162" customWidth="1"/>
    <col min="2" max="11" width="7.69140625" style="162" customWidth="1"/>
    <col min="12" max="16384" width="9.07421875" style="162"/>
  </cols>
  <sheetData>
    <row r="1" spans="1:15" s="230" customFormat="1" ht="30" customHeight="1" x14ac:dyDescent="0.4">
      <c r="A1" s="648" t="s">
        <v>32</v>
      </c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227"/>
    </row>
    <row r="2" spans="1:15" ht="24" customHeight="1" thickBot="1" x14ac:dyDescent="0.4">
      <c r="A2" s="612" t="s">
        <v>131</v>
      </c>
      <c r="B2" s="613"/>
      <c r="C2" s="613"/>
      <c r="D2" s="613"/>
      <c r="E2" s="613"/>
      <c r="F2" s="613"/>
      <c r="G2" s="613"/>
      <c r="H2" s="613"/>
      <c r="I2" s="613"/>
      <c r="J2" s="613"/>
      <c r="K2" s="613"/>
      <c r="L2" s="215"/>
      <c r="M2" s="218"/>
      <c r="N2" s="218"/>
      <c r="O2" s="218"/>
    </row>
    <row r="3" spans="1:15" ht="21.9" customHeight="1" thickTop="1" thickBot="1" x14ac:dyDescent="0.35">
      <c r="A3" s="58" t="s">
        <v>43</v>
      </c>
      <c r="B3" s="163">
        <v>4</v>
      </c>
      <c r="C3" s="164">
        <v>6</v>
      </c>
      <c r="D3" s="164">
        <v>8</v>
      </c>
      <c r="E3" s="164">
        <v>10</v>
      </c>
      <c r="F3" s="164">
        <v>15</v>
      </c>
      <c r="G3" s="164">
        <v>20</v>
      </c>
      <c r="H3" s="164">
        <v>25</v>
      </c>
      <c r="I3" s="164">
        <v>30</v>
      </c>
      <c r="J3" s="164">
        <v>35</v>
      </c>
      <c r="K3" s="165">
        <v>40</v>
      </c>
      <c r="L3" s="161"/>
    </row>
    <row r="4" spans="1:15" ht="15" customHeight="1" thickTop="1" x14ac:dyDescent="0.3">
      <c r="A4" s="167" t="s">
        <v>3</v>
      </c>
      <c r="B4" s="168">
        <v>4</v>
      </c>
      <c r="C4" s="169">
        <v>6</v>
      </c>
      <c r="D4" s="169">
        <v>8</v>
      </c>
      <c r="E4" s="169">
        <v>10</v>
      </c>
      <c r="F4" s="169">
        <v>15</v>
      </c>
      <c r="G4" s="169">
        <v>20</v>
      </c>
      <c r="H4" s="169">
        <v>25</v>
      </c>
      <c r="I4" s="169">
        <v>30</v>
      </c>
      <c r="J4" s="169">
        <v>35</v>
      </c>
      <c r="K4" s="170">
        <v>40</v>
      </c>
      <c r="L4" s="166"/>
    </row>
    <row r="5" spans="1:15" ht="16.649999999999999" customHeight="1" x14ac:dyDescent="0.3">
      <c r="A5" s="171">
        <v>2.9</v>
      </c>
      <c r="B5" s="172">
        <v>100</v>
      </c>
      <c r="C5" s="173">
        <v>100</v>
      </c>
      <c r="D5" s="173">
        <v>100</v>
      </c>
      <c r="E5" s="173">
        <v>100</v>
      </c>
      <c r="F5" s="173">
        <v>100</v>
      </c>
      <c r="G5" s="173">
        <v>100</v>
      </c>
      <c r="H5" s="173">
        <v>100</v>
      </c>
      <c r="I5" s="173">
        <v>100</v>
      </c>
      <c r="J5" s="173">
        <v>100</v>
      </c>
      <c r="K5" s="174">
        <v>100</v>
      </c>
      <c r="L5" s="166"/>
    </row>
    <row r="6" spans="1:15" ht="16.649999999999999" customHeight="1" x14ac:dyDescent="0.3">
      <c r="A6" s="175">
        <v>3</v>
      </c>
      <c r="B6" s="172">
        <v>99.8</v>
      </c>
      <c r="C6" s="173">
        <v>99.8</v>
      </c>
      <c r="D6" s="173">
        <v>99.8</v>
      </c>
      <c r="E6" s="173">
        <v>99.8</v>
      </c>
      <c r="F6" s="173">
        <v>99.8</v>
      </c>
      <c r="G6" s="173">
        <v>99.7</v>
      </c>
      <c r="H6" s="173">
        <v>99.7</v>
      </c>
      <c r="I6" s="173">
        <v>99.7</v>
      </c>
      <c r="J6" s="173">
        <v>99.7</v>
      </c>
      <c r="K6" s="174">
        <v>99.7</v>
      </c>
      <c r="L6" s="166"/>
    </row>
    <row r="7" spans="1:15" ht="16.649999999999999" customHeight="1" x14ac:dyDescent="0.3">
      <c r="A7" s="175">
        <v>4</v>
      </c>
      <c r="B7" s="172">
        <v>97.7</v>
      </c>
      <c r="C7" s="173">
        <v>97.7</v>
      </c>
      <c r="D7" s="173">
        <v>97.7</v>
      </c>
      <c r="E7" s="173">
        <v>97.6</v>
      </c>
      <c r="F7" s="173">
        <v>97.1</v>
      </c>
      <c r="G7" s="173">
        <v>96.9</v>
      </c>
      <c r="H7" s="173">
        <v>96.7</v>
      </c>
      <c r="I7" s="173">
        <v>96.7</v>
      </c>
      <c r="J7" s="173">
        <v>96.8</v>
      </c>
      <c r="K7" s="174">
        <v>96.8</v>
      </c>
      <c r="L7" s="166"/>
    </row>
    <row r="8" spans="1:15" ht="16.649999999999999" customHeight="1" x14ac:dyDescent="0.3">
      <c r="A8" s="175">
        <v>5</v>
      </c>
      <c r="B8" s="172">
        <v>94.5</v>
      </c>
      <c r="C8" s="173">
        <v>94.7</v>
      </c>
      <c r="D8" s="173">
        <v>94.7</v>
      </c>
      <c r="E8" s="173">
        <v>94.5</v>
      </c>
      <c r="F8" s="173">
        <v>94</v>
      </c>
      <c r="G8" s="173">
        <v>93.7</v>
      </c>
      <c r="H8" s="173">
        <v>93.5</v>
      </c>
      <c r="I8" s="173">
        <v>93.5</v>
      </c>
      <c r="J8" s="173">
        <v>93.6</v>
      </c>
      <c r="K8" s="174">
        <v>93.7</v>
      </c>
      <c r="L8" s="166"/>
    </row>
    <row r="9" spans="1:15" ht="24.9" customHeight="1" x14ac:dyDescent="0.3">
      <c r="A9" s="175">
        <v>6</v>
      </c>
      <c r="B9" s="172">
        <v>90.5</v>
      </c>
      <c r="C9" s="173">
        <v>91</v>
      </c>
      <c r="D9" s="173">
        <v>91.1</v>
      </c>
      <c r="E9" s="173">
        <v>90.7</v>
      </c>
      <c r="F9" s="173">
        <v>90.6</v>
      </c>
      <c r="G9" s="173">
        <v>90.4</v>
      </c>
      <c r="H9" s="173">
        <v>90.2</v>
      </c>
      <c r="I9" s="173">
        <v>90.3</v>
      </c>
      <c r="J9" s="173">
        <v>90.3</v>
      </c>
      <c r="K9" s="174">
        <v>90.4</v>
      </c>
      <c r="L9" s="166"/>
      <c r="M9" s="617" t="s">
        <v>27</v>
      </c>
      <c r="N9" s="618"/>
      <c r="O9" s="618"/>
    </row>
    <row r="10" spans="1:15" ht="16.649999999999999" customHeight="1" thickBot="1" x14ac:dyDescent="0.35">
      <c r="A10" s="175">
        <v>7</v>
      </c>
      <c r="B10" s="172">
        <v>86.6</v>
      </c>
      <c r="C10" s="173">
        <v>87.1</v>
      </c>
      <c r="D10" s="173">
        <v>87.3</v>
      </c>
      <c r="E10" s="173">
        <v>87.4</v>
      </c>
      <c r="F10" s="173">
        <v>87.2</v>
      </c>
      <c r="G10" s="173">
        <v>87</v>
      </c>
      <c r="H10" s="173">
        <v>86.9</v>
      </c>
      <c r="I10" s="173">
        <v>87</v>
      </c>
      <c r="J10" s="173">
        <v>87.1</v>
      </c>
      <c r="K10" s="174">
        <v>87.3</v>
      </c>
      <c r="L10" s="166"/>
      <c r="M10" s="35"/>
      <c r="N10" s="67"/>
      <c r="O10" s="67"/>
    </row>
    <row r="11" spans="1:15" ht="16.649999999999999" customHeight="1" thickBot="1" x14ac:dyDescent="0.35">
      <c r="A11" s="175">
        <v>8</v>
      </c>
      <c r="B11" s="172">
        <v>82.6</v>
      </c>
      <c r="C11" s="173">
        <v>83.3</v>
      </c>
      <c r="D11" s="173">
        <v>83.5</v>
      </c>
      <c r="E11" s="173">
        <v>83.8</v>
      </c>
      <c r="F11" s="173">
        <v>83.8</v>
      </c>
      <c r="G11" s="173">
        <v>83.7</v>
      </c>
      <c r="H11" s="173">
        <v>83.7</v>
      </c>
      <c r="I11" s="173">
        <v>83.8</v>
      </c>
      <c r="J11" s="173">
        <v>84</v>
      </c>
      <c r="K11" s="174">
        <v>84.2</v>
      </c>
      <c r="L11" s="166"/>
      <c r="M11" s="614" t="s">
        <v>18</v>
      </c>
      <c r="N11" s="645"/>
      <c r="O11" s="646"/>
    </row>
    <row r="12" spans="1:15" ht="16.649999999999999" customHeight="1" thickBot="1" x14ac:dyDescent="0.35">
      <c r="A12" s="175">
        <v>9</v>
      </c>
      <c r="B12" s="172">
        <v>78.8</v>
      </c>
      <c r="C12" s="173">
        <v>79.599999999999994</v>
      </c>
      <c r="D12" s="173">
        <v>79.900000000000006</v>
      </c>
      <c r="E12" s="173">
        <v>80.3</v>
      </c>
      <c r="F12" s="173">
        <v>80.400000000000006</v>
      </c>
      <c r="G12" s="173">
        <v>80.5</v>
      </c>
      <c r="H12" s="173">
        <v>80.599999999999994</v>
      </c>
      <c r="I12" s="173">
        <v>80.8</v>
      </c>
      <c r="J12" s="173">
        <v>81</v>
      </c>
      <c r="K12" s="174">
        <v>81.2</v>
      </c>
      <c r="L12" s="166"/>
      <c r="M12" s="155" t="s">
        <v>2</v>
      </c>
      <c r="N12" s="147" t="s">
        <v>34</v>
      </c>
      <c r="O12" s="148" t="s">
        <v>24</v>
      </c>
    </row>
    <row r="13" spans="1:15" ht="16.649999999999999" customHeight="1" thickBot="1" x14ac:dyDescent="0.35">
      <c r="A13" s="175">
        <v>10</v>
      </c>
      <c r="B13" s="172">
        <v>75.2</v>
      </c>
      <c r="C13" s="173">
        <v>76.2</v>
      </c>
      <c r="D13" s="173">
        <v>76.5</v>
      </c>
      <c r="E13" s="173">
        <v>77</v>
      </c>
      <c r="F13" s="173">
        <v>77.3</v>
      </c>
      <c r="G13" s="173">
        <v>77.5</v>
      </c>
      <c r="H13" s="173">
        <v>77.7</v>
      </c>
      <c r="I13" s="173">
        <v>77.900000000000006</v>
      </c>
      <c r="J13" s="173">
        <v>78.099999999999994</v>
      </c>
      <c r="K13" s="174">
        <v>78.3</v>
      </c>
      <c r="L13" s="166"/>
      <c r="M13" s="394">
        <v>10</v>
      </c>
      <c r="N13" s="463">
        <v>10</v>
      </c>
      <c r="O13" s="444">
        <f>Interpolate2DTable(M13,N13,A4:K33)</f>
        <v>77</v>
      </c>
    </row>
    <row r="14" spans="1:15" ht="24.9" customHeight="1" x14ac:dyDescent="0.3">
      <c r="A14" s="175">
        <v>11</v>
      </c>
      <c r="B14" s="172">
        <v>71.8</v>
      </c>
      <c r="C14" s="173">
        <v>72.8</v>
      </c>
      <c r="D14" s="173">
        <v>73.099999999999994</v>
      </c>
      <c r="E14" s="173">
        <v>73.8</v>
      </c>
      <c r="F14" s="173">
        <v>74.2</v>
      </c>
      <c r="G14" s="173">
        <v>74.5</v>
      </c>
      <c r="H14" s="173">
        <v>74.8</v>
      </c>
      <c r="I14" s="173">
        <v>75</v>
      </c>
      <c r="J14" s="173">
        <v>75.3</v>
      </c>
      <c r="K14" s="174">
        <v>75.5</v>
      </c>
      <c r="L14" s="166"/>
    </row>
    <row r="15" spans="1:15" ht="16.649999999999999" customHeight="1" x14ac:dyDescent="0.3">
      <c r="A15" s="175">
        <v>12</v>
      </c>
      <c r="B15" s="172">
        <v>68.5</v>
      </c>
      <c r="C15" s="173">
        <v>69.5</v>
      </c>
      <c r="D15" s="173">
        <v>69.900000000000006</v>
      </c>
      <c r="E15" s="173">
        <v>70.7</v>
      </c>
      <c r="F15" s="173">
        <v>71.2</v>
      </c>
      <c r="G15" s="173">
        <v>71.599999999999994</v>
      </c>
      <c r="H15" s="173">
        <v>71.900000000000006</v>
      </c>
      <c r="I15" s="173">
        <v>72.2</v>
      </c>
      <c r="J15" s="173">
        <v>72.5</v>
      </c>
      <c r="K15" s="174">
        <v>72.7</v>
      </c>
      <c r="L15" s="166"/>
    </row>
    <row r="16" spans="1:15" ht="16.649999999999999" customHeight="1" x14ac:dyDescent="0.3">
      <c r="A16" s="175">
        <v>13</v>
      </c>
      <c r="B16" s="172">
        <v>65.3</v>
      </c>
      <c r="C16" s="173">
        <v>66.400000000000006</v>
      </c>
      <c r="D16" s="173">
        <v>66.8</v>
      </c>
      <c r="E16" s="173">
        <v>67.7</v>
      </c>
      <c r="F16" s="173">
        <v>68.400000000000006</v>
      </c>
      <c r="G16" s="173">
        <v>68.8</v>
      </c>
      <c r="H16" s="173">
        <v>69.2</v>
      </c>
      <c r="I16" s="173">
        <v>69.599999999999994</v>
      </c>
      <c r="J16" s="173">
        <v>69.900000000000006</v>
      </c>
      <c r="K16" s="174">
        <v>70.099999999999994</v>
      </c>
      <c r="L16" s="166"/>
    </row>
    <row r="17" spans="1:12" ht="16.649999999999999" customHeight="1" x14ac:dyDescent="0.3">
      <c r="A17" s="175">
        <v>14</v>
      </c>
      <c r="B17" s="172">
        <v>62.4</v>
      </c>
      <c r="C17" s="173">
        <v>63.5</v>
      </c>
      <c r="D17" s="173">
        <v>63.9</v>
      </c>
      <c r="E17" s="173">
        <v>64.900000000000006</v>
      </c>
      <c r="F17" s="173">
        <v>65.7</v>
      </c>
      <c r="G17" s="173">
        <v>66.2</v>
      </c>
      <c r="H17" s="173">
        <v>66.599999999999994</v>
      </c>
      <c r="I17" s="173">
        <v>67</v>
      </c>
      <c r="J17" s="173">
        <v>67.3</v>
      </c>
      <c r="K17" s="174">
        <v>67.5</v>
      </c>
      <c r="L17" s="166"/>
    </row>
    <row r="18" spans="1:12" ht="16.649999999999999" customHeight="1" x14ac:dyDescent="0.3">
      <c r="A18" s="175">
        <v>15</v>
      </c>
      <c r="B18" s="172">
        <v>59.4</v>
      </c>
      <c r="C18" s="173">
        <v>60.6</v>
      </c>
      <c r="D18" s="173">
        <v>61.1</v>
      </c>
      <c r="E18" s="173">
        <v>62.1</v>
      </c>
      <c r="F18" s="173">
        <v>62.9</v>
      </c>
      <c r="G18" s="173">
        <v>63.5</v>
      </c>
      <c r="H18" s="173">
        <v>64</v>
      </c>
      <c r="I18" s="173">
        <v>64.400000000000006</v>
      </c>
      <c r="J18" s="173">
        <v>64.8</v>
      </c>
      <c r="K18" s="174">
        <v>65.099999999999994</v>
      </c>
      <c r="L18" s="166"/>
    </row>
    <row r="19" spans="1:12" ht="24.9" customHeight="1" x14ac:dyDescent="0.3">
      <c r="A19" s="175">
        <v>16</v>
      </c>
      <c r="B19" s="172">
        <v>56.7</v>
      </c>
      <c r="C19" s="173">
        <v>57.9</v>
      </c>
      <c r="D19" s="173">
        <v>58.4</v>
      </c>
      <c r="E19" s="173">
        <v>59.5</v>
      </c>
      <c r="F19" s="173">
        <v>60.4</v>
      </c>
      <c r="G19" s="173">
        <v>61</v>
      </c>
      <c r="H19" s="173">
        <v>61.5</v>
      </c>
      <c r="I19" s="173">
        <v>61.9</v>
      </c>
      <c r="J19" s="173">
        <v>62.3</v>
      </c>
      <c r="K19" s="174">
        <v>62.6</v>
      </c>
      <c r="L19" s="166"/>
    </row>
    <row r="20" spans="1:12" ht="16.649999999999999" customHeight="1" x14ac:dyDescent="0.3">
      <c r="A20" s="175">
        <v>17</v>
      </c>
      <c r="B20" s="172">
        <v>54.1</v>
      </c>
      <c r="C20" s="173">
        <v>55.4</v>
      </c>
      <c r="D20" s="173">
        <v>55.9</v>
      </c>
      <c r="E20" s="173">
        <v>57</v>
      </c>
      <c r="F20" s="173">
        <v>58</v>
      </c>
      <c r="G20" s="173">
        <v>58.6</v>
      </c>
      <c r="H20" s="173">
        <v>59.1</v>
      </c>
      <c r="I20" s="173">
        <v>59.6</v>
      </c>
      <c r="J20" s="173">
        <v>60</v>
      </c>
      <c r="K20" s="174">
        <v>60.3</v>
      </c>
      <c r="L20" s="166"/>
    </row>
    <row r="21" spans="1:12" ht="16.649999999999999" customHeight="1" x14ac:dyDescent="0.3">
      <c r="A21" s="175">
        <v>18</v>
      </c>
      <c r="B21" s="172">
        <v>51.8</v>
      </c>
      <c r="C21" s="173">
        <v>53</v>
      </c>
      <c r="D21" s="173">
        <v>53.5</v>
      </c>
      <c r="E21" s="173">
        <v>54.6</v>
      </c>
      <c r="F21" s="173">
        <v>55.6</v>
      </c>
      <c r="G21" s="173">
        <v>56.3</v>
      </c>
      <c r="H21" s="173">
        <v>56.9</v>
      </c>
      <c r="I21" s="173">
        <v>57.4</v>
      </c>
      <c r="J21" s="173">
        <v>57.8</v>
      </c>
      <c r="K21" s="174">
        <v>58.1</v>
      </c>
      <c r="L21" s="166"/>
    </row>
    <row r="22" spans="1:12" ht="16.649999999999999" customHeight="1" x14ac:dyDescent="0.3">
      <c r="A22" s="175">
        <v>19</v>
      </c>
      <c r="B22" s="172">
        <v>49.5</v>
      </c>
      <c r="C22" s="173">
        <v>50.7</v>
      </c>
      <c r="D22" s="173">
        <v>51.2</v>
      </c>
      <c r="E22" s="173">
        <v>52.3</v>
      </c>
      <c r="F22" s="173">
        <v>53.4</v>
      </c>
      <c r="G22" s="173">
        <v>54.1</v>
      </c>
      <c r="H22" s="173">
        <v>54.7</v>
      </c>
      <c r="I22" s="173">
        <v>55.2</v>
      </c>
      <c r="J22" s="173">
        <v>55.6</v>
      </c>
      <c r="K22" s="174">
        <v>55.9</v>
      </c>
      <c r="L22" s="166"/>
    </row>
    <row r="23" spans="1:12" ht="16.649999999999999" customHeight="1" x14ac:dyDescent="0.3">
      <c r="A23" s="175">
        <v>20</v>
      </c>
      <c r="B23" s="172">
        <v>47.2</v>
      </c>
      <c r="C23" s="173">
        <v>48.3</v>
      </c>
      <c r="D23" s="173">
        <v>48.8</v>
      </c>
      <c r="E23" s="173">
        <v>50</v>
      </c>
      <c r="F23" s="173">
        <v>51.2</v>
      </c>
      <c r="G23" s="173">
        <v>52</v>
      </c>
      <c r="H23" s="173">
        <v>52.6</v>
      </c>
      <c r="I23" s="173">
        <v>53.1</v>
      </c>
      <c r="J23" s="173">
        <v>53.5</v>
      </c>
      <c r="K23" s="174">
        <v>53.8</v>
      </c>
      <c r="L23" s="166"/>
    </row>
    <row r="24" spans="1:12" ht="24.9" customHeight="1" x14ac:dyDescent="0.3">
      <c r="A24" s="175">
        <v>21</v>
      </c>
      <c r="B24" s="172">
        <v>45</v>
      </c>
      <c r="C24" s="173">
        <v>46.2</v>
      </c>
      <c r="D24" s="173">
        <v>46.7</v>
      </c>
      <c r="E24" s="173">
        <v>47.8</v>
      </c>
      <c r="F24" s="173">
        <v>49.1</v>
      </c>
      <c r="G24" s="173">
        <v>49.9</v>
      </c>
      <c r="H24" s="173">
        <v>50.5</v>
      </c>
      <c r="I24" s="173">
        <v>51</v>
      </c>
      <c r="J24" s="173">
        <v>51.4</v>
      </c>
      <c r="K24" s="174">
        <v>51.7</v>
      </c>
      <c r="L24" s="166"/>
    </row>
    <row r="25" spans="1:12" ht="16.649999999999999" customHeight="1" x14ac:dyDescent="0.3">
      <c r="A25" s="175">
        <v>22</v>
      </c>
      <c r="B25" s="172">
        <v>43</v>
      </c>
      <c r="C25" s="173">
        <v>44.2</v>
      </c>
      <c r="D25" s="173">
        <v>44.7</v>
      </c>
      <c r="E25" s="173">
        <v>45.8</v>
      </c>
      <c r="F25" s="173">
        <v>47.1</v>
      </c>
      <c r="G25" s="173">
        <v>48</v>
      </c>
      <c r="H25" s="173">
        <v>48.6</v>
      </c>
      <c r="I25" s="173">
        <v>49.1</v>
      </c>
      <c r="J25" s="173">
        <v>49.5</v>
      </c>
      <c r="K25" s="174">
        <v>49.8</v>
      </c>
      <c r="L25" s="166"/>
    </row>
    <row r="26" spans="1:12" ht="16.649999999999999" customHeight="1" x14ac:dyDescent="0.3">
      <c r="A26" s="175">
        <v>23</v>
      </c>
      <c r="B26" s="172">
        <v>41.2</v>
      </c>
      <c r="C26" s="173">
        <v>42.3</v>
      </c>
      <c r="D26" s="173">
        <v>42.8</v>
      </c>
      <c r="E26" s="173">
        <v>43.9</v>
      </c>
      <c r="F26" s="173">
        <v>45.2</v>
      </c>
      <c r="G26" s="173">
        <v>46.1</v>
      </c>
      <c r="H26" s="173">
        <v>46.7</v>
      </c>
      <c r="I26" s="173">
        <v>47.2</v>
      </c>
      <c r="J26" s="173">
        <v>47.6</v>
      </c>
      <c r="K26" s="174">
        <v>47.9</v>
      </c>
      <c r="L26" s="166"/>
    </row>
    <row r="27" spans="1:12" ht="16.649999999999999" customHeight="1" x14ac:dyDescent="0.3">
      <c r="A27" s="175">
        <v>24</v>
      </c>
      <c r="B27" s="172">
        <v>39.4</v>
      </c>
      <c r="C27" s="173">
        <v>40.5</v>
      </c>
      <c r="D27" s="173">
        <v>41</v>
      </c>
      <c r="E27" s="173">
        <v>42.1</v>
      </c>
      <c r="F27" s="173">
        <v>43.4</v>
      </c>
      <c r="G27" s="173">
        <v>44.3</v>
      </c>
      <c r="H27" s="173">
        <v>44.9</v>
      </c>
      <c r="I27" s="173">
        <v>45.4</v>
      </c>
      <c r="J27" s="173">
        <v>45.8</v>
      </c>
      <c r="K27" s="174">
        <v>46.1</v>
      </c>
      <c r="L27" s="166"/>
    </row>
    <row r="28" spans="1:12" ht="16.649999999999999" customHeight="1" x14ac:dyDescent="0.3">
      <c r="A28" s="175">
        <v>25</v>
      </c>
      <c r="B28" s="172">
        <v>37.6</v>
      </c>
      <c r="C28" s="173">
        <v>38.700000000000003</v>
      </c>
      <c r="D28" s="173">
        <v>39.200000000000003</v>
      </c>
      <c r="E28" s="173">
        <v>40.299999999999997</v>
      </c>
      <c r="F28" s="173">
        <v>41.6</v>
      </c>
      <c r="G28" s="173">
        <v>42.5</v>
      </c>
      <c r="H28" s="173">
        <v>43.1</v>
      </c>
      <c r="I28" s="173">
        <v>43.6</v>
      </c>
      <c r="J28" s="173">
        <v>44</v>
      </c>
      <c r="K28" s="174">
        <v>44.3</v>
      </c>
      <c r="L28" s="166"/>
    </row>
    <row r="29" spans="1:12" ht="24.9" customHeight="1" x14ac:dyDescent="0.3">
      <c r="A29" s="175">
        <v>26</v>
      </c>
      <c r="B29" s="172">
        <v>35.9</v>
      </c>
      <c r="C29" s="173">
        <v>37</v>
      </c>
      <c r="D29" s="173">
        <v>37.5</v>
      </c>
      <c r="E29" s="173">
        <v>38.6</v>
      </c>
      <c r="F29" s="173">
        <v>39.9</v>
      </c>
      <c r="G29" s="173">
        <v>40.799999999999997</v>
      </c>
      <c r="H29" s="173">
        <v>41.4</v>
      </c>
      <c r="I29" s="173">
        <v>41.9</v>
      </c>
      <c r="J29" s="173">
        <v>42.3</v>
      </c>
      <c r="K29" s="174">
        <v>42.6</v>
      </c>
      <c r="L29" s="166"/>
    </row>
    <row r="30" spans="1:12" s="177" customFormat="1" ht="16.649999999999999" customHeight="1" x14ac:dyDescent="0.3">
      <c r="A30" s="175">
        <v>27</v>
      </c>
      <c r="B30" s="172">
        <v>34.299999999999997</v>
      </c>
      <c r="C30" s="173">
        <v>35.4</v>
      </c>
      <c r="D30" s="173">
        <v>35.9</v>
      </c>
      <c r="E30" s="173">
        <v>37</v>
      </c>
      <c r="F30" s="173">
        <v>38.299999999999997</v>
      </c>
      <c r="G30" s="173">
        <v>39.200000000000003</v>
      </c>
      <c r="H30" s="173">
        <v>39.799999999999997</v>
      </c>
      <c r="I30" s="173">
        <v>40.299999999999997</v>
      </c>
      <c r="J30" s="173">
        <v>40.700000000000003</v>
      </c>
      <c r="K30" s="174">
        <v>41</v>
      </c>
      <c r="L30" s="176"/>
    </row>
    <row r="31" spans="1:12" s="177" customFormat="1" ht="16.649999999999999" customHeight="1" x14ac:dyDescent="0.3">
      <c r="A31" s="175">
        <v>28</v>
      </c>
      <c r="B31" s="172">
        <v>32.799999999999997</v>
      </c>
      <c r="C31" s="173">
        <v>33.9</v>
      </c>
      <c r="D31" s="173">
        <v>34.4</v>
      </c>
      <c r="E31" s="173">
        <v>35.5</v>
      </c>
      <c r="F31" s="173">
        <v>36.799999999999997</v>
      </c>
      <c r="G31" s="173">
        <v>37.700000000000003</v>
      </c>
      <c r="H31" s="173">
        <v>38.299999999999997</v>
      </c>
      <c r="I31" s="173">
        <v>38.799999999999997</v>
      </c>
      <c r="J31" s="173">
        <v>39.200000000000003</v>
      </c>
      <c r="K31" s="174">
        <v>39.5</v>
      </c>
      <c r="L31" s="176"/>
    </row>
    <row r="32" spans="1:12" s="177" customFormat="1" ht="16.649999999999999" customHeight="1" x14ac:dyDescent="0.3">
      <c r="A32" s="175">
        <v>29</v>
      </c>
      <c r="B32" s="172">
        <v>31.3</v>
      </c>
      <c r="C32" s="173">
        <v>32.4</v>
      </c>
      <c r="D32" s="173">
        <v>32.9</v>
      </c>
      <c r="E32" s="173">
        <v>34</v>
      </c>
      <c r="F32" s="173">
        <v>35.299999999999997</v>
      </c>
      <c r="G32" s="173">
        <v>36.200000000000003</v>
      </c>
      <c r="H32" s="173">
        <v>36.799999999999997</v>
      </c>
      <c r="I32" s="173">
        <v>37.299999999999997</v>
      </c>
      <c r="J32" s="173">
        <v>37.700000000000003</v>
      </c>
      <c r="K32" s="174">
        <v>38</v>
      </c>
      <c r="L32" s="176"/>
    </row>
    <row r="33" spans="1:12" s="177" customFormat="1" ht="16.649999999999999" customHeight="1" thickBot="1" x14ac:dyDescent="0.35">
      <c r="A33" s="178">
        <v>30</v>
      </c>
      <c r="B33" s="179">
        <v>29.9</v>
      </c>
      <c r="C33" s="180">
        <v>31</v>
      </c>
      <c r="D33" s="180">
        <v>31.5</v>
      </c>
      <c r="E33" s="180">
        <v>32.6</v>
      </c>
      <c r="F33" s="180">
        <v>33.9</v>
      </c>
      <c r="G33" s="180">
        <v>34.799999999999997</v>
      </c>
      <c r="H33" s="180">
        <v>35.4</v>
      </c>
      <c r="I33" s="180">
        <v>35.9</v>
      </c>
      <c r="J33" s="180">
        <v>36.299999999999997</v>
      </c>
      <c r="K33" s="181">
        <v>36.6</v>
      </c>
      <c r="L33" s="176"/>
    </row>
    <row r="34" spans="1:12" ht="17.25" customHeight="1" thickTop="1" x14ac:dyDescent="0.3">
      <c r="A34" s="166"/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</row>
    <row r="35" spans="1:12" ht="17.25" customHeight="1" x14ac:dyDescent="0.3">
      <c r="A35" s="166"/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</row>
    <row r="36" spans="1:12" ht="17.25" customHeight="1" x14ac:dyDescent="0.3">
      <c r="A36" s="166"/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</row>
    <row r="37" spans="1:12" ht="17.25" customHeight="1" x14ac:dyDescent="0.3">
      <c r="A37" s="166"/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</row>
    <row r="38" spans="1:12" ht="17.25" customHeight="1" x14ac:dyDescent="0.3">
      <c r="A38" s="166"/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</row>
    <row r="39" spans="1:12" ht="17.25" customHeight="1" x14ac:dyDescent="0.3">
      <c r="A39" s="166"/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</row>
    <row r="40" spans="1:12" x14ac:dyDescent="0.3">
      <c r="A40" s="166"/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</row>
    <row r="41" spans="1:12" x14ac:dyDescent="0.3">
      <c r="A41" s="166"/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</row>
    <row r="42" spans="1:12" x14ac:dyDescent="0.3">
      <c r="A42" s="166"/>
      <c r="B42" s="166"/>
      <c r="C42" s="166"/>
      <c r="D42" s="166"/>
      <c r="E42" s="166"/>
      <c r="F42" s="166"/>
      <c r="G42" s="166"/>
      <c r="H42" s="166"/>
      <c r="I42" s="166"/>
      <c r="J42" s="166"/>
      <c r="K42" s="166"/>
      <c r="L42" s="166"/>
    </row>
    <row r="43" spans="1:12" x14ac:dyDescent="0.3">
      <c r="A43" s="166"/>
      <c r="B43" s="166"/>
      <c r="C43" s="166"/>
      <c r="D43" s="166"/>
      <c r="E43" s="166"/>
      <c r="F43" s="166"/>
      <c r="G43" s="166"/>
      <c r="H43" s="166"/>
      <c r="I43" s="166"/>
      <c r="J43" s="166"/>
      <c r="K43" s="166"/>
      <c r="L43" s="166"/>
    </row>
    <row r="44" spans="1:12" x14ac:dyDescent="0.3">
      <c r="A44" s="161"/>
      <c r="B44" s="161"/>
      <c r="C44" s="161"/>
      <c r="D44" s="161"/>
      <c r="E44" s="161"/>
      <c r="F44" s="161"/>
      <c r="G44" s="161"/>
      <c r="H44" s="166"/>
      <c r="I44" s="166"/>
      <c r="J44" s="166"/>
      <c r="K44" s="166"/>
      <c r="L44" s="161"/>
    </row>
    <row r="45" spans="1:12" x14ac:dyDescent="0.3">
      <c r="A45" s="161"/>
      <c r="B45" s="161"/>
      <c r="C45" s="161"/>
      <c r="D45" s="161"/>
      <c r="E45" s="161"/>
      <c r="F45" s="161"/>
      <c r="G45" s="161"/>
      <c r="H45" s="166"/>
      <c r="I45" s="166"/>
      <c r="J45" s="166"/>
      <c r="K45" s="166"/>
      <c r="L45" s="161"/>
    </row>
    <row r="46" spans="1:12" x14ac:dyDescent="0.3">
      <c r="A46" s="161"/>
      <c r="B46" s="161"/>
      <c r="C46" s="161"/>
      <c r="D46" s="161"/>
      <c r="E46" s="161"/>
      <c r="F46" s="161"/>
      <c r="G46" s="161"/>
      <c r="H46" s="166"/>
      <c r="I46" s="166"/>
      <c r="J46" s="166"/>
      <c r="K46" s="166"/>
      <c r="L46" s="161"/>
    </row>
    <row r="47" spans="1:12" x14ac:dyDescent="0.3">
      <c r="A47" s="161"/>
      <c r="B47" s="161"/>
      <c r="C47" s="161"/>
      <c r="D47" s="161"/>
      <c r="E47" s="161"/>
      <c r="F47" s="161"/>
      <c r="G47" s="161"/>
      <c r="H47" s="166"/>
      <c r="I47" s="166"/>
      <c r="J47" s="166"/>
      <c r="K47" s="166"/>
      <c r="L47" s="161"/>
    </row>
    <row r="48" spans="1:12" x14ac:dyDescent="0.3">
      <c r="A48" s="161"/>
      <c r="B48" s="161"/>
      <c r="C48" s="161"/>
      <c r="D48" s="161"/>
      <c r="E48" s="161"/>
      <c r="F48" s="161"/>
      <c r="G48" s="161"/>
      <c r="H48" s="166"/>
      <c r="I48" s="166"/>
      <c r="J48" s="166"/>
      <c r="K48" s="166"/>
      <c r="L48" s="161"/>
    </row>
    <row r="49" spans="1:12" x14ac:dyDescent="0.3">
      <c r="A49" s="161"/>
      <c r="B49" s="161"/>
      <c r="C49" s="161"/>
      <c r="D49" s="161"/>
      <c r="E49" s="161"/>
      <c r="F49" s="161"/>
      <c r="G49" s="161"/>
      <c r="H49" s="166"/>
      <c r="I49" s="166"/>
      <c r="J49" s="166"/>
      <c r="K49" s="166"/>
      <c r="L49" s="161"/>
    </row>
    <row r="50" spans="1:12" x14ac:dyDescent="0.3">
      <c r="H50" s="166"/>
      <c r="I50" s="166"/>
      <c r="J50" s="166"/>
      <c r="K50" s="166"/>
    </row>
    <row r="51" spans="1:12" x14ac:dyDescent="0.3">
      <c r="H51" s="166"/>
      <c r="I51" s="166"/>
      <c r="J51" s="166"/>
      <c r="K51" s="166"/>
    </row>
    <row r="52" spans="1:12" x14ac:dyDescent="0.3">
      <c r="H52" s="166"/>
      <c r="I52" s="166"/>
      <c r="J52" s="166"/>
      <c r="K52" s="166"/>
    </row>
    <row r="53" spans="1:12" x14ac:dyDescent="0.3">
      <c r="H53" s="166"/>
      <c r="I53" s="166"/>
      <c r="J53" s="166"/>
      <c r="K53" s="166"/>
    </row>
    <row r="54" spans="1:12" x14ac:dyDescent="0.3">
      <c r="H54" s="166"/>
      <c r="I54" s="166"/>
      <c r="J54" s="166"/>
      <c r="K54" s="166"/>
    </row>
    <row r="55" spans="1:12" x14ac:dyDescent="0.3">
      <c r="H55" s="166"/>
      <c r="I55" s="166"/>
      <c r="J55" s="166"/>
      <c r="K55" s="166"/>
    </row>
    <row r="56" spans="1:12" x14ac:dyDescent="0.3">
      <c r="H56" s="166"/>
      <c r="I56" s="166"/>
      <c r="J56" s="166"/>
      <c r="K56" s="166"/>
    </row>
    <row r="57" spans="1:12" x14ac:dyDescent="0.3">
      <c r="H57" s="166"/>
    </row>
    <row r="58" spans="1:12" x14ac:dyDescent="0.3">
      <c r="H58" s="166"/>
    </row>
    <row r="59" spans="1:12" x14ac:dyDescent="0.3">
      <c r="H59" s="166"/>
    </row>
    <row r="60" spans="1:12" x14ac:dyDescent="0.3">
      <c r="H60" s="166"/>
    </row>
    <row r="61" spans="1:12" x14ac:dyDescent="0.3">
      <c r="H61" s="166"/>
    </row>
  </sheetData>
  <mergeCells count="4">
    <mergeCell ref="A1:K1"/>
    <mergeCell ref="A2:K2"/>
    <mergeCell ref="M9:O9"/>
    <mergeCell ref="M11:O11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Y142"/>
  <sheetViews>
    <sheetView showGridLines="0" zoomScaleNormal="100" workbookViewId="0">
      <selection activeCell="A2" sqref="A2:K2"/>
    </sheetView>
  </sheetViews>
  <sheetFormatPr defaultColWidth="9.07421875" defaultRowHeight="12.45" x14ac:dyDescent="0.3"/>
  <cols>
    <col min="1" max="1" width="9.84375" style="162" customWidth="1"/>
    <col min="2" max="11" width="7.69140625" style="162" customWidth="1"/>
    <col min="12" max="16384" width="9.07421875" style="162"/>
  </cols>
  <sheetData>
    <row r="1" spans="1:25" s="230" customFormat="1" ht="30" customHeight="1" x14ac:dyDescent="0.4">
      <c r="A1" s="648" t="s">
        <v>33</v>
      </c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227"/>
      <c r="M1" s="228"/>
      <c r="N1" s="228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</row>
    <row r="2" spans="1:25" ht="24" customHeight="1" thickBot="1" x14ac:dyDescent="0.4">
      <c r="A2" s="647" t="s">
        <v>135</v>
      </c>
      <c r="B2" s="647"/>
      <c r="C2" s="647"/>
      <c r="D2" s="647"/>
      <c r="E2" s="647"/>
      <c r="F2" s="647"/>
      <c r="G2" s="647"/>
      <c r="H2" s="647"/>
      <c r="I2" s="647"/>
      <c r="J2" s="647"/>
      <c r="K2" s="647"/>
      <c r="L2" s="215"/>
      <c r="M2" s="216"/>
      <c r="N2" s="216"/>
      <c r="O2" s="217"/>
      <c r="P2" s="183"/>
      <c r="Q2" s="183"/>
      <c r="R2" s="183"/>
      <c r="S2" s="183"/>
      <c r="T2" s="183"/>
      <c r="U2" s="183"/>
      <c r="V2" s="183"/>
      <c r="W2" s="183"/>
      <c r="X2" s="183"/>
      <c r="Y2" s="183"/>
    </row>
    <row r="3" spans="1:25" ht="21.9" customHeight="1" thickTop="1" thickBot="1" x14ac:dyDescent="0.35">
      <c r="A3" s="58" t="s">
        <v>37</v>
      </c>
      <c r="B3" s="184">
        <v>4</v>
      </c>
      <c r="C3" s="185">
        <v>6</v>
      </c>
      <c r="D3" s="185">
        <v>8</v>
      </c>
      <c r="E3" s="185">
        <v>10</v>
      </c>
      <c r="F3" s="185">
        <v>15</v>
      </c>
      <c r="G3" s="185">
        <v>20</v>
      </c>
      <c r="H3" s="185">
        <v>25</v>
      </c>
      <c r="I3" s="185">
        <v>30</v>
      </c>
      <c r="J3" s="185">
        <v>35</v>
      </c>
      <c r="K3" s="186">
        <v>40</v>
      </c>
      <c r="L3" s="161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3"/>
      <c r="Y3" s="183"/>
    </row>
    <row r="4" spans="1:25" ht="14.4" customHeight="1" thickTop="1" x14ac:dyDescent="0.3">
      <c r="A4" s="167" t="s">
        <v>3</v>
      </c>
      <c r="B4" s="188">
        <v>4</v>
      </c>
      <c r="C4" s="189">
        <v>6</v>
      </c>
      <c r="D4" s="189">
        <v>8</v>
      </c>
      <c r="E4" s="189">
        <v>10</v>
      </c>
      <c r="F4" s="189">
        <v>15</v>
      </c>
      <c r="G4" s="189">
        <v>20</v>
      </c>
      <c r="H4" s="189">
        <v>25</v>
      </c>
      <c r="I4" s="189">
        <v>30</v>
      </c>
      <c r="J4" s="189">
        <v>35</v>
      </c>
      <c r="K4" s="190">
        <v>40</v>
      </c>
      <c r="L4" s="166"/>
      <c r="M4" s="191"/>
      <c r="N4" s="192"/>
      <c r="O4" s="193"/>
      <c r="P4" s="193"/>
      <c r="Q4" s="193"/>
      <c r="R4" s="193"/>
      <c r="S4" s="193"/>
      <c r="T4" s="193"/>
      <c r="U4" s="193"/>
      <c r="V4" s="193"/>
      <c r="W4" s="193"/>
      <c r="X4" s="183"/>
      <c r="Y4" s="183"/>
    </row>
    <row r="5" spans="1:25" ht="16.649999999999999" customHeight="1" x14ac:dyDescent="0.3">
      <c r="A5" s="171">
        <v>2.9</v>
      </c>
      <c r="B5" s="194">
        <v>1</v>
      </c>
      <c r="C5" s="195">
        <v>1</v>
      </c>
      <c r="D5" s="195">
        <v>1</v>
      </c>
      <c r="E5" s="195">
        <v>1</v>
      </c>
      <c r="F5" s="195">
        <v>1</v>
      </c>
      <c r="G5" s="195">
        <v>1</v>
      </c>
      <c r="H5" s="195">
        <v>1</v>
      </c>
      <c r="I5" s="195">
        <v>1</v>
      </c>
      <c r="J5" s="195">
        <v>1</v>
      </c>
      <c r="K5" s="196">
        <v>1</v>
      </c>
      <c r="L5" s="166"/>
      <c r="M5" s="192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83"/>
      <c r="Y5" s="183"/>
    </row>
    <row r="6" spans="1:25" ht="16.649999999999999" customHeight="1" x14ac:dyDescent="0.3">
      <c r="A6" s="175">
        <v>3</v>
      </c>
      <c r="B6" s="194">
        <v>1</v>
      </c>
      <c r="C6" s="195">
        <v>1</v>
      </c>
      <c r="D6" s="195">
        <v>1</v>
      </c>
      <c r="E6" s="195">
        <v>1</v>
      </c>
      <c r="F6" s="195">
        <v>1</v>
      </c>
      <c r="G6" s="195">
        <v>0.999</v>
      </c>
      <c r="H6" s="195">
        <v>0.999</v>
      </c>
      <c r="I6" s="195">
        <v>0.999</v>
      </c>
      <c r="J6" s="195">
        <v>0.999</v>
      </c>
      <c r="K6" s="196">
        <v>0.999</v>
      </c>
      <c r="L6" s="166"/>
      <c r="M6" s="192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83"/>
      <c r="Y6" s="183"/>
    </row>
    <row r="7" spans="1:25" ht="16.649999999999999" customHeight="1" x14ac:dyDescent="0.3">
      <c r="A7" s="175">
        <v>4</v>
      </c>
      <c r="B7" s="194">
        <v>0.998</v>
      </c>
      <c r="C7" s="195">
        <v>0.998</v>
      </c>
      <c r="D7" s="195">
        <v>0.998</v>
      </c>
      <c r="E7" s="195">
        <v>0.997</v>
      </c>
      <c r="F7" s="195">
        <v>0.99199999999999999</v>
      </c>
      <c r="G7" s="195">
        <v>0.99</v>
      </c>
      <c r="H7" s="195">
        <v>0.98799999999999999</v>
      </c>
      <c r="I7" s="195">
        <v>0.98799999999999999</v>
      </c>
      <c r="J7" s="195">
        <v>0.98799999999999999</v>
      </c>
      <c r="K7" s="196">
        <v>0.98899999999999999</v>
      </c>
      <c r="L7" s="166"/>
      <c r="M7" s="192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83"/>
      <c r="Y7" s="183"/>
    </row>
    <row r="8" spans="1:25" ht="16.649999999999999" customHeight="1" x14ac:dyDescent="0.3">
      <c r="A8" s="175">
        <v>5</v>
      </c>
      <c r="B8" s="194">
        <v>0.98299999999999998</v>
      </c>
      <c r="C8" s="195">
        <v>0.98499999999999999</v>
      </c>
      <c r="D8" s="195">
        <v>0.98499999999999999</v>
      </c>
      <c r="E8" s="195">
        <v>0.98399999999999999</v>
      </c>
      <c r="F8" s="195">
        <v>0.97899999999999998</v>
      </c>
      <c r="G8" s="195">
        <v>0.97499999999999998</v>
      </c>
      <c r="H8" s="195">
        <v>0.97299999999999998</v>
      </c>
      <c r="I8" s="195">
        <v>0.97299999999999998</v>
      </c>
      <c r="J8" s="195">
        <v>0.97399999999999998</v>
      </c>
      <c r="K8" s="196">
        <v>0.97499999999999998</v>
      </c>
      <c r="L8" s="166"/>
      <c r="M8" s="192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83"/>
      <c r="Y8" s="183"/>
    </row>
    <row r="9" spans="1:25" ht="24.9" customHeight="1" x14ac:dyDescent="0.3">
      <c r="A9" s="175">
        <v>6</v>
      </c>
      <c r="B9" s="194">
        <v>0.96</v>
      </c>
      <c r="C9" s="195">
        <v>0.96399999999999997</v>
      </c>
      <c r="D9" s="195">
        <v>0.96599999999999997</v>
      </c>
      <c r="E9" s="195">
        <v>0.96399999999999997</v>
      </c>
      <c r="F9" s="195">
        <v>0.96099999999999997</v>
      </c>
      <c r="G9" s="195">
        <v>0.95899999999999996</v>
      </c>
      <c r="H9" s="195">
        <v>0.95699999999999996</v>
      </c>
      <c r="I9" s="195">
        <v>0.95699999999999996</v>
      </c>
      <c r="J9" s="195">
        <v>0.95699999999999996</v>
      </c>
      <c r="K9" s="196">
        <v>0.95799999999999996</v>
      </c>
      <c r="L9" s="166"/>
      <c r="M9" s="617" t="s">
        <v>27</v>
      </c>
      <c r="N9" s="618"/>
      <c r="O9" s="618"/>
      <c r="P9" s="197"/>
      <c r="Q9" s="197"/>
      <c r="R9" s="197"/>
      <c r="S9" s="197"/>
      <c r="T9" s="197"/>
      <c r="U9" s="197"/>
      <c r="V9" s="197"/>
      <c r="W9" s="197"/>
      <c r="X9" s="183"/>
      <c r="Y9" s="183"/>
    </row>
    <row r="10" spans="1:25" ht="16.649999999999999" customHeight="1" thickBot="1" x14ac:dyDescent="0.35">
      <c r="A10" s="175">
        <v>7</v>
      </c>
      <c r="B10" s="194">
        <v>0.93500000000000005</v>
      </c>
      <c r="C10" s="195">
        <v>0.94</v>
      </c>
      <c r="D10" s="195">
        <v>0.94299999999999995</v>
      </c>
      <c r="E10" s="195">
        <v>0.94399999999999995</v>
      </c>
      <c r="F10" s="195">
        <v>0.94199999999999995</v>
      </c>
      <c r="G10" s="195">
        <v>0.94</v>
      </c>
      <c r="H10" s="195">
        <v>0.93899999999999995</v>
      </c>
      <c r="I10" s="195">
        <v>0.93899999999999995</v>
      </c>
      <c r="J10" s="195">
        <v>0.94</v>
      </c>
      <c r="K10" s="196">
        <v>0.94199999999999995</v>
      </c>
      <c r="L10" s="166"/>
      <c r="M10" s="35"/>
      <c r="N10" s="67"/>
      <c r="O10" s="67"/>
      <c r="P10" s="197"/>
      <c r="Q10" s="197"/>
      <c r="R10" s="197"/>
      <c r="S10" s="197"/>
      <c r="T10" s="197"/>
      <c r="U10" s="197"/>
      <c r="V10" s="197"/>
      <c r="W10" s="197"/>
      <c r="X10" s="183"/>
      <c r="Y10" s="183"/>
    </row>
    <row r="11" spans="1:25" ht="16.649999999999999" customHeight="1" thickBot="1" x14ac:dyDescent="0.35">
      <c r="A11" s="175">
        <v>8</v>
      </c>
      <c r="B11" s="194">
        <v>0.90800000000000003</v>
      </c>
      <c r="C11" s="195">
        <v>0.91500000000000004</v>
      </c>
      <c r="D11" s="195">
        <v>0.91900000000000004</v>
      </c>
      <c r="E11" s="195">
        <v>0.92200000000000004</v>
      </c>
      <c r="F11" s="195">
        <v>0.92200000000000004</v>
      </c>
      <c r="G11" s="195">
        <v>0.92100000000000004</v>
      </c>
      <c r="H11" s="195">
        <v>0.92100000000000004</v>
      </c>
      <c r="I11" s="195">
        <v>0.92200000000000004</v>
      </c>
      <c r="J11" s="195">
        <v>0.92300000000000004</v>
      </c>
      <c r="K11" s="196">
        <v>0.92500000000000004</v>
      </c>
      <c r="L11" s="166"/>
      <c r="M11" s="619" t="s">
        <v>18</v>
      </c>
      <c r="N11" s="620"/>
      <c r="O11" s="621"/>
      <c r="P11" s="197"/>
      <c r="Q11" s="197"/>
      <c r="R11" s="197"/>
      <c r="S11" s="197"/>
      <c r="T11" s="197"/>
      <c r="U11" s="197"/>
      <c r="V11" s="197"/>
      <c r="W11" s="197"/>
      <c r="X11" s="183"/>
      <c r="Y11" s="183"/>
    </row>
    <row r="12" spans="1:25" ht="16.649999999999999" customHeight="1" thickBot="1" x14ac:dyDescent="0.35">
      <c r="A12" s="175">
        <v>9</v>
      </c>
      <c r="B12" s="194">
        <v>0.88100000000000001</v>
      </c>
      <c r="C12" s="195">
        <v>0.89</v>
      </c>
      <c r="D12" s="195">
        <v>0.89600000000000002</v>
      </c>
      <c r="E12" s="195">
        <v>0.89900000000000002</v>
      </c>
      <c r="F12" s="195">
        <v>0.9</v>
      </c>
      <c r="G12" s="195">
        <v>0.90100000000000002</v>
      </c>
      <c r="H12" s="195">
        <v>0.90200000000000002</v>
      </c>
      <c r="I12" s="195">
        <v>0.90400000000000003</v>
      </c>
      <c r="J12" s="195">
        <v>0.90600000000000003</v>
      </c>
      <c r="K12" s="196">
        <v>0.90900000000000003</v>
      </c>
      <c r="L12" s="166"/>
      <c r="M12" s="155" t="s">
        <v>2</v>
      </c>
      <c r="N12" s="147" t="s">
        <v>39</v>
      </c>
      <c r="O12" s="148" t="s">
        <v>19</v>
      </c>
      <c r="P12" s="197"/>
      <c r="Q12" s="197"/>
      <c r="R12" s="197"/>
      <c r="S12" s="197"/>
      <c r="T12" s="197"/>
      <c r="U12" s="197"/>
      <c r="V12" s="197"/>
      <c r="W12" s="197"/>
      <c r="X12" s="183"/>
      <c r="Y12" s="183"/>
    </row>
    <row r="13" spans="1:25" ht="16.649999999999999" customHeight="1" thickBot="1" x14ac:dyDescent="0.35">
      <c r="A13" s="175">
        <v>10</v>
      </c>
      <c r="B13" s="194">
        <v>0.85599999999999998</v>
      </c>
      <c r="C13" s="195">
        <v>0.86699999999999999</v>
      </c>
      <c r="D13" s="195">
        <v>0.873</v>
      </c>
      <c r="E13" s="195">
        <v>0.877</v>
      </c>
      <c r="F13" s="195">
        <v>0.88100000000000001</v>
      </c>
      <c r="G13" s="195">
        <v>0.88300000000000001</v>
      </c>
      <c r="H13" s="195">
        <v>0.88500000000000001</v>
      </c>
      <c r="I13" s="195">
        <v>0.88800000000000001</v>
      </c>
      <c r="J13" s="195">
        <v>0.89</v>
      </c>
      <c r="K13" s="196">
        <v>0.89200000000000002</v>
      </c>
      <c r="L13" s="166"/>
      <c r="M13" s="394">
        <v>10</v>
      </c>
      <c r="N13" s="463">
        <v>10</v>
      </c>
      <c r="O13" s="148">
        <f>Interpolate2DTable(M13,N13,A4:K33)</f>
        <v>0.877</v>
      </c>
      <c r="P13" s="197"/>
      <c r="Q13" s="197"/>
      <c r="R13" s="197"/>
      <c r="S13" s="197"/>
      <c r="T13" s="197"/>
      <c r="U13" s="197"/>
      <c r="V13" s="197"/>
      <c r="W13" s="197"/>
      <c r="X13" s="183"/>
      <c r="Y13" s="183"/>
    </row>
    <row r="14" spans="1:25" ht="24.9" customHeight="1" x14ac:dyDescent="0.3">
      <c r="A14" s="175">
        <v>11</v>
      </c>
      <c r="B14" s="194">
        <v>0.83199999999999996</v>
      </c>
      <c r="C14" s="195">
        <v>0.84299999999999997</v>
      </c>
      <c r="D14" s="195">
        <v>0.84899999999999998</v>
      </c>
      <c r="E14" s="195">
        <v>0.85499999999999998</v>
      </c>
      <c r="F14" s="195">
        <v>0.86</v>
      </c>
      <c r="G14" s="195">
        <v>0.86299999999999999</v>
      </c>
      <c r="H14" s="195">
        <v>0.86699999999999999</v>
      </c>
      <c r="I14" s="195">
        <v>0.87</v>
      </c>
      <c r="J14" s="195">
        <v>0.872</v>
      </c>
      <c r="K14" s="196">
        <v>0.875</v>
      </c>
      <c r="L14" s="166"/>
      <c r="M14" s="192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83"/>
      <c r="Y14" s="183"/>
    </row>
    <row r="15" spans="1:25" ht="16.649999999999999" customHeight="1" x14ac:dyDescent="0.3">
      <c r="A15" s="175">
        <v>12</v>
      </c>
      <c r="B15" s="194">
        <v>0.80700000000000005</v>
      </c>
      <c r="C15" s="195">
        <v>0.81899999999999995</v>
      </c>
      <c r="D15" s="195">
        <v>0.82599999999999996</v>
      </c>
      <c r="E15" s="195">
        <v>0.83299999999999996</v>
      </c>
      <c r="F15" s="195">
        <v>0.83899999999999997</v>
      </c>
      <c r="G15" s="195">
        <v>0.84399999999999997</v>
      </c>
      <c r="H15" s="195">
        <v>0.84799999999999998</v>
      </c>
      <c r="I15" s="195">
        <v>0.85099999999999998</v>
      </c>
      <c r="J15" s="195">
        <v>0.85399999999999998</v>
      </c>
      <c r="K15" s="196">
        <v>0.85799999999999998</v>
      </c>
      <c r="L15" s="166"/>
      <c r="M15" s="192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83"/>
      <c r="Y15" s="183"/>
    </row>
    <row r="16" spans="1:25" ht="16.649999999999999" customHeight="1" x14ac:dyDescent="0.3">
      <c r="A16" s="175">
        <v>13</v>
      </c>
      <c r="B16" s="194">
        <v>0.78300000000000003</v>
      </c>
      <c r="C16" s="195">
        <v>0.79500000000000004</v>
      </c>
      <c r="D16" s="195">
        <v>0.80400000000000005</v>
      </c>
      <c r="E16" s="195">
        <v>0.81100000000000005</v>
      </c>
      <c r="F16" s="195">
        <v>0.82</v>
      </c>
      <c r="G16" s="195">
        <v>0.82499999999999996</v>
      </c>
      <c r="H16" s="195">
        <v>0.83</v>
      </c>
      <c r="I16" s="195">
        <v>0.83399999999999996</v>
      </c>
      <c r="J16" s="195">
        <v>0.83799999999999997</v>
      </c>
      <c r="K16" s="196">
        <v>0.84099999999999997</v>
      </c>
      <c r="L16" s="166"/>
      <c r="M16" s="192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83"/>
      <c r="Y16" s="183"/>
    </row>
    <row r="17" spans="1:25" ht="16.649999999999999" customHeight="1" x14ac:dyDescent="0.3">
      <c r="A17" s="175">
        <v>14</v>
      </c>
      <c r="B17" s="194">
        <v>0.76100000000000001</v>
      </c>
      <c r="C17" s="195">
        <v>0.77300000000000002</v>
      </c>
      <c r="D17" s="195">
        <v>0.78200000000000003</v>
      </c>
      <c r="E17" s="195">
        <v>0.79</v>
      </c>
      <c r="F17" s="195">
        <v>0.80100000000000005</v>
      </c>
      <c r="G17" s="195">
        <v>0.80700000000000005</v>
      </c>
      <c r="H17" s="195">
        <v>0.81200000000000006</v>
      </c>
      <c r="I17" s="195">
        <v>0.81699999999999995</v>
      </c>
      <c r="J17" s="195">
        <v>0.82099999999999995</v>
      </c>
      <c r="K17" s="196">
        <v>0.82399999999999995</v>
      </c>
      <c r="L17" s="166"/>
      <c r="M17" s="192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83"/>
      <c r="Y17" s="183"/>
    </row>
    <row r="18" spans="1:25" ht="16.649999999999999" customHeight="1" x14ac:dyDescent="0.3">
      <c r="A18" s="175">
        <v>15</v>
      </c>
      <c r="B18" s="194">
        <v>0.73599999999999999</v>
      </c>
      <c r="C18" s="195">
        <v>0.749</v>
      </c>
      <c r="D18" s="195">
        <v>0.76</v>
      </c>
      <c r="E18" s="195">
        <v>0.76800000000000002</v>
      </c>
      <c r="F18" s="195">
        <v>0.78</v>
      </c>
      <c r="G18" s="195">
        <v>0.78600000000000003</v>
      </c>
      <c r="H18" s="195">
        <v>0.79300000000000004</v>
      </c>
      <c r="I18" s="195">
        <v>0.79900000000000004</v>
      </c>
      <c r="J18" s="195">
        <v>0.80300000000000005</v>
      </c>
      <c r="K18" s="196">
        <v>0.80700000000000005</v>
      </c>
      <c r="L18" s="166"/>
      <c r="M18" s="192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83"/>
      <c r="Y18" s="183"/>
    </row>
    <row r="19" spans="1:25" ht="24.9" customHeight="1" x14ac:dyDescent="0.3">
      <c r="A19" s="175">
        <v>16</v>
      </c>
      <c r="B19" s="194">
        <v>0.71399999999999997</v>
      </c>
      <c r="C19" s="195">
        <v>0.72799999999999998</v>
      </c>
      <c r="D19" s="195">
        <v>0.73899999999999999</v>
      </c>
      <c r="E19" s="195">
        <v>0.748</v>
      </c>
      <c r="F19" s="195">
        <v>0.76100000000000001</v>
      </c>
      <c r="G19" s="195">
        <v>0.76800000000000002</v>
      </c>
      <c r="H19" s="195">
        <v>0.77500000000000002</v>
      </c>
      <c r="I19" s="195">
        <v>0.78</v>
      </c>
      <c r="J19" s="195">
        <v>0.78500000000000003</v>
      </c>
      <c r="K19" s="196">
        <v>0.78900000000000003</v>
      </c>
      <c r="L19" s="166"/>
      <c r="M19" s="192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83"/>
      <c r="Y19" s="183"/>
    </row>
    <row r="20" spans="1:25" ht="16.649999999999999" customHeight="1" x14ac:dyDescent="0.3">
      <c r="A20" s="175">
        <v>17</v>
      </c>
      <c r="B20" s="194">
        <v>0.69199999999999995</v>
      </c>
      <c r="C20" s="195">
        <v>0.70699999999999996</v>
      </c>
      <c r="D20" s="195">
        <v>0.71899999999999997</v>
      </c>
      <c r="E20" s="195">
        <v>0.72799999999999998</v>
      </c>
      <c r="F20" s="195">
        <v>0.74199999999999999</v>
      </c>
      <c r="G20" s="195">
        <v>0.75</v>
      </c>
      <c r="H20" s="195">
        <v>0.75700000000000001</v>
      </c>
      <c r="I20" s="195">
        <v>0.76300000000000001</v>
      </c>
      <c r="J20" s="195">
        <v>0.76800000000000002</v>
      </c>
      <c r="K20" s="196">
        <v>0.77300000000000002</v>
      </c>
      <c r="L20" s="166"/>
      <c r="M20" s="192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83"/>
      <c r="Y20" s="183"/>
    </row>
    <row r="21" spans="1:25" ht="16.649999999999999" customHeight="1" x14ac:dyDescent="0.3">
      <c r="A21" s="175">
        <v>18</v>
      </c>
      <c r="B21" s="194">
        <v>0.67400000000000004</v>
      </c>
      <c r="C21" s="195">
        <v>0.68799999999999994</v>
      </c>
      <c r="D21" s="195">
        <v>0.69899999999999995</v>
      </c>
      <c r="E21" s="195">
        <v>0.70899999999999996</v>
      </c>
      <c r="F21" s="195">
        <v>0.72299999999999998</v>
      </c>
      <c r="G21" s="195">
        <v>0.73199999999999998</v>
      </c>
      <c r="H21" s="195">
        <v>0.74</v>
      </c>
      <c r="I21" s="195">
        <v>0.746</v>
      </c>
      <c r="J21" s="195">
        <v>0.752</v>
      </c>
      <c r="K21" s="196">
        <v>0.75700000000000001</v>
      </c>
      <c r="L21" s="166"/>
      <c r="M21" s="192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83"/>
      <c r="Y21" s="183"/>
    </row>
    <row r="22" spans="1:25" ht="16.649999999999999" customHeight="1" x14ac:dyDescent="0.3">
      <c r="A22" s="175">
        <v>19</v>
      </c>
      <c r="B22" s="194">
        <v>0.65500000000000003</v>
      </c>
      <c r="C22" s="195">
        <v>0.66900000000000004</v>
      </c>
      <c r="D22" s="195">
        <v>0.68</v>
      </c>
      <c r="E22" s="195">
        <v>0.69</v>
      </c>
      <c r="F22" s="195">
        <v>0.70499999999999996</v>
      </c>
      <c r="G22" s="195">
        <v>0.71399999999999997</v>
      </c>
      <c r="H22" s="195">
        <v>0.72199999999999998</v>
      </c>
      <c r="I22" s="195">
        <v>0.73</v>
      </c>
      <c r="J22" s="195">
        <v>0.73499999999999999</v>
      </c>
      <c r="K22" s="196">
        <v>0.74</v>
      </c>
      <c r="L22" s="166"/>
      <c r="M22" s="192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83"/>
      <c r="Y22" s="183"/>
    </row>
    <row r="23" spans="1:25" ht="16.649999999999999" customHeight="1" x14ac:dyDescent="0.3">
      <c r="A23" s="175">
        <v>20</v>
      </c>
      <c r="B23" s="194">
        <v>0.63500000000000001</v>
      </c>
      <c r="C23" s="195">
        <v>0.64800000000000002</v>
      </c>
      <c r="D23" s="195">
        <v>0.65900000000000003</v>
      </c>
      <c r="E23" s="195">
        <v>0.66900000000000004</v>
      </c>
      <c r="F23" s="195">
        <v>0.68600000000000005</v>
      </c>
      <c r="G23" s="195">
        <v>0.69599999999999995</v>
      </c>
      <c r="H23" s="195">
        <v>0.70599999999999996</v>
      </c>
      <c r="I23" s="195">
        <v>0.71299999999999997</v>
      </c>
      <c r="J23" s="195">
        <v>0.71799999999999997</v>
      </c>
      <c r="K23" s="196">
        <v>0.72299999999999998</v>
      </c>
      <c r="L23" s="166"/>
      <c r="M23" s="192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83"/>
      <c r="Y23" s="183"/>
    </row>
    <row r="24" spans="1:25" ht="24.9" customHeight="1" x14ac:dyDescent="0.3">
      <c r="A24" s="175">
        <v>21</v>
      </c>
      <c r="B24" s="194">
        <v>0.61499999999999999</v>
      </c>
      <c r="C24" s="195">
        <v>0.628</v>
      </c>
      <c r="D24" s="195">
        <v>0.64</v>
      </c>
      <c r="E24" s="195">
        <v>0.65</v>
      </c>
      <c r="F24" s="195">
        <v>0.66700000000000004</v>
      </c>
      <c r="G24" s="195">
        <v>0.67800000000000005</v>
      </c>
      <c r="H24" s="195">
        <v>0.68799999999999994</v>
      </c>
      <c r="I24" s="195">
        <v>0.69599999999999995</v>
      </c>
      <c r="J24" s="195">
        <v>0.70099999999999996</v>
      </c>
      <c r="K24" s="196">
        <v>0.70599999999999996</v>
      </c>
      <c r="L24" s="166"/>
      <c r="M24" s="192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83"/>
      <c r="Y24" s="183"/>
    </row>
    <row r="25" spans="1:25" ht="16.649999999999999" customHeight="1" x14ac:dyDescent="0.3">
      <c r="A25" s="175">
        <v>22</v>
      </c>
      <c r="B25" s="194">
        <v>0.59699999999999998</v>
      </c>
      <c r="C25" s="195">
        <v>0.61</v>
      </c>
      <c r="D25" s="195">
        <v>0.622</v>
      </c>
      <c r="E25" s="195">
        <v>0.63200000000000001</v>
      </c>
      <c r="F25" s="195">
        <v>0.65</v>
      </c>
      <c r="G25" s="195">
        <v>0.66200000000000003</v>
      </c>
      <c r="H25" s="195">
        <v>0.67300000000000004</v>
      </c>
      <c r="I25" s="195">
        <v>0.68</v>
      </c>
      <c r="J25" s="195">
        <v>0.68600000000000005</v>
      </c>
      <c r="K25" s="196">
        <v>0.69099999999999995</v>
      </c>
      <c r="L25" s="166"/>
      <c r="M25" s="192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83"/>
      <c r="Y25" s="183"/>
    </row>
    <row r="26" spans="1:25" ht="16.649999999999999" customHeight="1" x14ac:dyDescent="0.3">
      <c r="A26" s="175">
        <v>23</v>
      </c>
      <c r="B26" s="194">
        <v>0.57999999999999996</v>
      </c>
      <c r="C26" s="195">
        <v>0.59399999999999997</v>
      </c>
      <c r="D26" s="195">
        <v>0.60499999999999998</v>
      </c>
      <c r="E26" s="195">
        <v>0.61499999999999999</v>
      </c>
      <c r="F26" s="195">
        <v>0.63300000000000001</v>
      </c>
      <c r="G26" s="195">
        <v>0.64500000000000002</v>
      </c>
      <c r="H26" s="195">
        <v>0.65600000000000003</v>
      </c>
      <c r="I26" s="195">
        <v>0.66400000000000003</v>
      </c>
      <c r="J26" s="195">
        <v>0.67</v>
      </c>
      <c r="K26" s="196">
        <v>0.67500000000000004</v>
      </c>
      <c r="L26" s="166"/>
      <c r="M26" s="192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83"/>
      <c r="Y26" s="183"/>
    </row>
    <row r="27" spans="1:25" ht="16.649999999999999" customHeight="1" x14ac:dyDescent="0.3">
      <c r="A27" s="175">
        <v>24</v>
      </c>
      <c r="B27" s="194">
        <v>0.56299999999999994</v>
      </c>
      <c r="C27" s="195">
        <v>0.57699999999999996</v>
      </c>
      <c r="D27" s="195">
        <v>0.58899999999999997</v>
      </c>
      <c r="E27" s="195">
        <v>0.59899999999999998</v>
      </c>
      <c r="F27" s="195">
        <v>0.61699999999999999</v>
      </c>
      <c r="G27" s="195">
        <v>0.63</v>
      </c>
      <c r="H27" s="195">
        <v>0.64</v>
      </c>
      <c r="I27" s="195">
        <v>0.64800000000000002</v>
      </c>
      <c r="J27" s="195">
        <v>0.65400000000000003</v>
      </c>
      <c r="K27" s="196">
        <v>0.65900000000000003</v>
      </c>
      <c r="L27" s="166"/>
      <c r="M27" s="192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83"/>
      <c r="Y27" s="183"/>
    </row>
    <row r="28" spans="1:25" ht="16.649999999999999" customHeight="1" x14ac:dyDescent="0.3">
      <c r="A28" s="175">
        <v>25</v>
      </c>
      <c r="B28" s="194">
        <v>0.54600000000000004</v>
      </c>
      <c r="C28" s="195">
        <v>0.56000000000000005</v>
      </c>
      <c r="D28" s="195">
        <v>0.57099999999999995</v>
      </c>
      <c r="E28" s="195">
        <v>0.58099999999999996</v>
      </c>
      <c r="F28" s="195">
        <v>0.6</v>
      </c>
      <c r="G28" s="195">
        <v>0.61299999999999999</v>
      </c>
      <c r="H28" s="195">
        <v>0.624</v>
      </c>
      <c r="I28" s="195">
        <v>0.63200000000000001</v>
      </c>
      <c r="J28" s="195">
        <v>0.63800000000000001</v>
      </c>
      <c r="K28" s="196">
        <v>0.64300000000000002</v>
      </c>
      <c r="L28" s="166"/>
      <c r="M28" s="192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83"/>
      <c r="Y28" s="183"/>
    </row>
    <row r="29" spans="1:25" ht="24.9" customHeight="1" x14ac:dyDescent="0.3">
      <c r="A29" s="175">
        <v>26</v>
      </c>
      <c r="B29" s="194">
        <v>0.52900000000000003</v>
      </c>
      <c r="C29" s="195">
        <v>0.54300000000000004</v>
      </c>
      <c r="D29" s="195">
        <v>0.55500000000000005</v>
      </c>
      <c r="E29" s="195">
        <v>0.56499999999999995</v>
      </c>
      <c r="F29" s="195">
        <v>0.58399999999999996</v>
      </c>
      <c r="G29" s="195">
        <v>0.59699999999999998</v>
      </c>
      <c r="H29" s="195">
        <v>0.60799999999999998</v>
      </c>
      <c r="I29" s="195">
        <v>0.61599999999999999</v>
      </c>
      <c r="J29" s="195">
        <v>0.622</v>
      </c>
      <c r="K29" s="196">
        <v>0.628</v>
      </c>
      <c r="L29" s="166"/>
      <c r="M29" s="192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83"/>
      <c r="Y29" s="183"/>
    </row>
    <row r="30" spans="1:25" s="177" customFormat="1" ht="16.649999999999999" customHeight="1" x14ac:dyDescent="0.3">
      <c r="A30" s="175">
        <v>27</v>
      </c>
      <c r="B30" s="194">
        <v>0.51300000000000001</v>
      </c>
      <c r="C30" s="195">
        <v>0.52700000000000002</v>
      </c>
      <c r="D30" s="195">
        <v>0.53900000000000003</v>
      </c>
      <c r="E30" s="195">
        <v>0.54900000000000004</v>
      </c>
      <c r="F30" s="195">
        <v>0.56799999999999995</v>
      </c>
      <c r="G30" s="195">
        <v>0.58199999999999996</v>
      </c>
      <c r="H30" s="195">
        <v>0.59299999999999997</v>
      </c>
      <c r="I30" s="195">
        <v>0.60099999999999998</v>
      </c>
      <c r="J30" s="195">
        <v>0.60799999999999998</v>
      </c>
      <c r="K30" s="196">
        <v>0.61299999999999999</v>
      </c>
      <c r="L30" s="176"/>
      <c r="M30" s="198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200"/>
      <c r="Y30" s="200"/>
    </row>
    <row r="31" spans="1:25" s="177" customFormat="1" ht="16.649999999999999" customHeight="1" x14ac:dyDescent="0.3">
      <c r="A31" s="175">
        <v>28</v>
      </c>
      <c r="B31" s="194">
        <v>0.497</v>
      </c>
      <c r="C31" s="195">
        <v>0.51200000000000001</v>
      </c>
      <c r="D31" s="195">
        <v>0.52400000000000002</v>
      </c>
      <c r="E31" s="195">
        <v>0.53400000000000003</v>
      </c>
      <c r="F31" s="195">
        <v>0.55400000000000005</v>
      </c>
      <c r="G31" s="195">
        <v>0.56699999999999995</v>
      </c>
      <c r="H31" s="195">
        <v>0.57799999999999996</v>
      </c>
      <c r="I31" s="195">
        <v>0.58699999999999997</v>
      </c>
      <c r="J31" s="195">
        <v>0.59399999999999997</v>
      </c>
      <c r="K31" s="196">
        <v>0.59899999999999998</v>
      </c>
      <c r="L31" s="176"/>
      <c r="M31" s="198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200"/>
      <c r="Y31" s="200"/>
    </row>
    <row r="32" spans="1:25" s="177" customFormat="1" ht="16.649999999999999" customHeight="1" x14ac:dyDescent="0.3">
      <c r="A32" s="175">
        <v>29</v>
      </c>
      <c r="B32" s="194">
        <v>0.48099999999999998</v>
      </c>
      <c r="C32" s="195">
        <v>0.496</v>
      </c>
      <c r="D32" s="195">
        <v>0.50800000000000001</v>
      </c>
      <c r="E32" s="195">
        <v>0.51900000000000002</v>
      </c>
      <c r="F32" s="195">
        <v>0.53900000000000003</v>
      </c>
      <c r="G32" s="195">
        <v>0.55200000000000005</v>
      </c>
      <c r="H32" s="195">
        <v>0.56399999999999995</v>
      </c>
      <c r="I32" s="195">
        <v>0.57199999999999995</v>
      </c>
      <c r="J32" s="195">
        <v>0.57899999999999996</v>
      </c>
      <c r="K32" s="196">
        <v>0.58499999999999996</v>
      </c>
      <c r="L32" s="176"/>
      <c r="M32" s="198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200"/>
      <c r="Y32" s="200"/>
    </row>
    <row r="33" spans="1:25" s="177" customFormat="1" ht="16.649999999999999" customHeight="1" thickBot="1" x14ac:dyDescent="0.35">
      <c r="A33" s="178">
        <v>30</v>
      </c>
      <c r="B33" s="201">
        <v>0.46600000000000003</v>
      </c>
      <c r="C33" s="202">
        <v>0.48099999999999998</v>
      </c>
      <c r="D33" s="202">
        <v>0.49299999999999999</v>
      </c>
      <c r="E33" s="202">
        <v>0.504</v>
      </c>
      <c r="F33" s="202">
        <v>0.52400000000000002</v>
      </c>
      <c r="G33" s="202">
        <v>0.53800000000000003</v>
      </c>
      <c r="H33" s="202">
        <v>0.55000000000000004</v>
      </c>
      <c r="I33" s="202">
        <v>0.55900000000000005</v>
      </c>
      <c r="J33" s="202">
        <v>0.56499999999999995</v>
      </c>
      <c r="K33" s="203">
        <v>0.57099999999999995</v>
      </c>
      <c r="L33" s="176"/>
      <c r="M33" s="198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200"/>
      <c r="Y33" s="200"/>
    </row>
    <row r="34" spans="1:25" ht="17.25" customHeight="1" thickTop="1" x14ac:dyDescent="0.3">
      <c r="A34" s="166"/>
      <c r="B34" s="166"/>
      <c r="C34" s="166"/>
      <c r="D34" s="166"/>
      <c r="E34" s="204"/>
      <c r="F34" s="205"/>
      <c r="G34" s="205"/>
      <c r="H34" s="205"/>
      <c r="I34" s="205"/>
      <c r="J34" s="205"/>
      <c r="K34" s="205"/>
      <c r="L34" s="166"/>
      <c r="M34" s="192"/>
      <c r="N34" s="182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</row>
    <row r="35" spans="1:25" ht="17.25" customHeight="1" x14ac:dyDescent="0.3">
      <c r="A35" s="166"/>
      <c r="B35" s="166"/>
      <c r="C35" s="166"/>
      <c r="D35" s="166"/>
      <c r="E35" s="204"/>
      <c r="F35" s="205"/>
      <c r="G35" s="205"/>
      <c r="H35" s="205"/>
      <c r="I35" s="205"/>
      <c r="J35" s="205"/>
      <c r="K35" s="205"/>
      <c r="L35" s="166"/>
      <c r="M35" s="192"/>
      <c r="N35" s="182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</row>
    <row r="36" spans="1:25" ht="17.25" customHeight="1" x14ac:dyDescent="0.3">
      <c r="A36" s="166"/>
      <c r="B36" s="166"/>
      <c r="C36" s="166"/>
      <c r="D36" s="166"/>
      <c r="E36" s="204"/>
      <c r="F36" s="204"/>
      <c r="G36" s="204"/>
      <c r="H36" s="204"/>
      <c r="I36" s="204"/>
      <c r="J36" s="204"/>
      <c r="K36" s="204"/>
      <c r="L36" s="166"/>
      <c r="M36" s="192"/>
      <c r="N36" s="182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</row>
    <row r="37" spans="1:25" ht="17.25" customHeight="1" x14ac:dyDescent="0.3">
      <c r="A37" s="166"/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92"/>
      <c r="N37" s="182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</row>
    <row r="38" spans="1:25" ht="17.25" customHeight="1" x14ac:dyDescent="0.3">
      <c r="A38" s="166"/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92"/>
      <c r="N38" s="182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</row>
    <row r="39" spans="1:25" ht="17.25" customHeight="1" x14ac:dyDescent="0.3">
      <c r="A39" s="166"/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92"/>
      <c r="N39" s="182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</row>
    <row r="40" spans="1:25" x14ac:dyDescent="0.3">
      <c r="A40" s="166"/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92"/>
      <c r="N40" s="182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</row>
    <row r="41" spans="1:25" x14ac:dyDescent="0.3">
      <c r="A41" s="166"/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92"/>
      <c r="N41" s="182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</row>
    <row r="42" spans="1:25" x14ac:dyDescent="0.3">
      <c r="A42" s="166"/>
      <c r="B42" s="166"/>
      <c r="C42" s="166"/>
      <c r="D42" s="166"/>
      <c r="E42" s="166"/>
      <c r="F42" s="166"/>
      <c r="G42" s="166"/>
      <c r="H42" s="166"/>
      <c r="I42" s="166"/>
      <c r="J42" s="166"/>
      <c r="K42" s="166"/>
      <c r="L42" s="166"/>
      <c r="M42" s="192"/>
      <c r="N42" s="182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</row>
    <row r="43" spans="1:25" x14ac:dyDescent="0.3">
      <c r="A43" s="166"/>
      <c r="B43" s="166"/>
      <c r="C43" s="166"/>
      <c r="D43" s="166"/>
      <c r="E43" s="166"/>
      <c r="F43" s="166"/>
      <c r="G43" s="166"/>
      <c r="H43" s="166"/>
      <c r="I43" s="166"/>
      <c r="J43" s="166"/>
      <c r="K43" s="166"/>
      <c r="L43" s="166"/>
      <c r="M43" s="192"/>
      <c r="N43" s="182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</row>
    <row r="44" spans="1:25" x14ac:dyDescent="0.3">
      <c r="A44" s="161"/>
      <c r="B44" s="161"/>
      <c r="C44" s="161"/>
      <c r="D44" s="161"/>
      <c r="E44" s="161"/>
      <c r="F44" s="161"/>
      <c r="G44" s="161"/>
      <c r="H44" s="166"/>
      <c r="I44" s="166"/>
      <c r="J44" s="166"/>
      <c r="K44" s="166"/>
      <c r="L44" s="161"/>
      <c r="M44" s="182"/>
      <c r="N44" s="182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</row>
    <row r="45" spans="1:25" x14ac:dyDescent="0.3">
      <c r="A45" s="161"/>
      <c r="B45" s="161"/>
      <c r="C45" s="161"/>
      <c r="D45" s="161"/>
      <c r="E45" s="161"/>
      <c r="F45" s="161"/>
      <c r="G45" s="161"/>
      <c r="H45" s="166"/>
      <c r="I45" s="166"/>
      <c r="J45" s="166"/>
      <c r="K45" s="166"/>
      <c r="L45" s="161"/>
      <c r="M45" s="182"/>
      <c r="N45" s="182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</row>
    <row r="46" spans="1:25" x14ac:dyDescent="0.3">
      <c r="A46" s="161"/>
      <c r="B46" s="161"/>
      <c r="C46" s="161"/>
      <c r="D46" s="161"/>
      <c r="E46" s="161"/>
      <c r="F46" s="161"/>
      <c r="G46" s="161"/>
      <c r="H46" s="166"/>
      <c r="I46" s="166"/>
      <c r="J46" s="166"/>
      <c r="K46" s="166"/>
      <c r="L46" s="161"/>
      <c r="M46" s="182"/>
      <c r="N46" s="182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</row>
    <row r="47" spans="1:25" x14ac:dyDescent="0.3">
      <c r="A47" s="161"/>
      <c r="B47" s="161"/>
      <c r="C47" s="161"/>
      <c r="D47" s="161"/>
      <c r="E47" s="161"/>
      <c r="F47" s="161"/>
      <c r="G47" s="161"/>
      <c r="H47" s="166"/>
      <c r="I47" s="166"/>
      <c r="J47" s="166"/>
      <c r="K47" s="166"/>
      <c r="L47" s="161"/>
      <c r="M47" s="182"/>
      <c r="N47" s="182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</row>
    <row r="48" spans="1:25" x14ac:dyDescent="0.3">
      <c r="A48" s="161"/>
      <c r="B48" s="161"/>
      <c r="C48" s="161"/>
      <c r="D48" s="161"/>
      <c r="E48" s="161"/>
      <c r="F48" s="161"/>
      <c r="G48" s="161"/>
      <c r="H48" s="166"/>
      <c r="I48" s="166"/>
      <c r="J48" s="166"/>
      <c r="K48" s="166"/>
      <c r="L48" s="161"/>
      <c r="M48" s="182"/>
      <c r="N48" s="182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</row>
    <row r="49" spans="1:25" x14ac:dyDescent="0.3">
      <c r="A49" s="161"/>
      <c r="B49" s="161"/>
      <c r="C49" s="161"/>
      <c r="D49" s="161"/>
      <c r="E49" s="161"/>
      <c r="F49" s="161"/>
      <c r="G49" s="161"/>
      <c r="H49" s="166"/>
      <c r="I49" s="166"/>
      <c r="J49" s="166"/>
      <c r="K49" s="166"/>
      <c r="L49" s="161"/>
      <c r="M49" s="182"/>
      <c r="N49" s="182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</row>
    <row r="50" spans="1:25" x14ac:dyDescent="0.3">
      <c r="H50" s="166"/>
      <c r="I50" s="166"/>
      <c r="J50" s="166"/>
      <c r="K50" s="166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</row>
    <row r="51" spans="1:25" x14ac:dyDescent="0.3">
      <c r="H51" s="166"/>
      <c r="I51" s="166"/>
      <c r="J51" s="166"/>
      <c r="K51" s="166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</row>
    <row r="52" spans="1:25" x14ac:dyDescent="0.3">
      <c r="H52" s="166"/>
      <c r="I52" s="166"/>
      <c r="J52" s="166"/>
      <c r="K52" s="166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</row>
    <row r="53" spans="1:25" x14ac:dyDescent="0.3">
      <c r="H53" s="166"/>
      <c r="I53" s="166"/>
      <c r="J53" s="166"/>
      <c r="K53" s="166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</row>
    <row r="54" spans="1:25" x14ac:dyDescent="0.3">
      <c r="H54" s="166"/>
      <c r="I54" s="166"/>
      <c r="J54" s="166"/>
      <c r="K54" s="166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</row>
    <row r="55" spans="1:25" x14ac:dyDescent="0.3">
      <c r="H55" s="166"/>
      <c r="I55" s="166"/>
      <c r="J55" s="166"/>
      <c r="K55" s="166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</row>
    <row r="56" spans="1:25" x14ac:dyDescent="0.3">
      <c r="H56" s="166"/>
      <c r="I56" s="166"/>
      <c r="J56" s="166"/>
      <c r="K56" s="166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</row>
    <row r="57" spans="1:25" x14ac:dyDescent="0.3">
      <c r="H57" s="166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</row>
    <row r="58" spans="1:25" x14ac:dyDescent="0.3">
      <c r="H58" s="166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</row>
    <row r="59" spans="1:25" x14ac:dyDescent="0.3">
      <c r="H59" s="166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</row>
    <row r="60" spans="1:25" x14ac:dyDescent="0.3">
      <c r="H60" s="166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</row>
    <row r="61" spans="1:25" x14ac:dyDescent="0.3">
      <c r="H61" s="166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</row>
    <row r="62" spans="1:25" x14ac:dyDescent="0.3"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</row>
    <row r="63" spans="1:25" x14ac:dyDescent="0.3"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</row>
    <row r="64" spans="1:25" x14ac:dyDescent="0.3"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</row>
    <row r="65" spans="13:25" x14ac:dyDescent="0.3"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</row>
    <row r="66" spans="13:25" x14ac:dyDescent="0.3"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</row>
    <row r="67" spans="13:25" x14ac:dyDescent="0.3"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</row>
    <row r="68" spans="13:25" x14ac:dyDescent="0.3"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</row>
    <row r="69" spans="13:25" x14ac:dyDescent="0.3"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</row>
    <row r="70" spans="13:25" x14ac:dyDescent="0.3"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</row>
    <row r="71" spans="13:25" x14ac:dyDescent="0.3"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</row>
    <row r="72" spans="13:25" x14ac:dyDescent="0.3"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</row>
    <row r="73" spans="13:25" x14ac:dyDescent="0.3"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</row>
    <row r="74" spans="13:25" x14ac:dyDescent="0.3"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</row>
    <row r="75" spans="13:25" x14ac:dyDescent="0.3"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</row>
    <row r="76" spans="13:25" x14ac:dyDescent="0.3"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</row>
    <row r="77" spans="13:25" x14ac:dyDescent="0.3"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</row>
    <row r="78" spans="13:25" x14ac:dyDescent="0.3"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</row>
    <row r="79" spans="13:25" x14ac:dyDescent="0.3"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</row>
    <row r="80" spans="13:25" x14ac:dyDescent="0.3"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</row>
    <row r="81" spans="13:25" x14ac:dyDescent="0.3"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</row>
    <row r="82" spans="13:25" x14ac:dyDescent="0.3"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</row>
    <row r="83" spans="13:25" x14ac:dyDescent="0.3"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</row>
    <row r="84" spans="13:25" x14ac:dyDescent="0.3"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</row>
    <row r="85" spans="13:25" x14ac:dyDescent="0.3"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</row>
    <row r="86" spans="13:25" x14ac:dyDescent="0.3"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</row>
    <row r="87" spans="13:25" x14ac:dyDescent="0.3"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</row>
    <row r="88" spans="13:25" x14ac:dyDescent="0.3"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</row>
    <row r="89" spans="13:25" x14ac:dyDescent="0.3"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</row>
    <row r="90" spans="13:25" x14ac:dyDescent="0.3"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</row>
    <row r="91" spans="13:25" x14ac:dyDescent="0.3"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</row>
    <row r="92" spans="13:25" x14ac:dyDescent="0.3"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</row>
    <row r="93" spans="13:25" x14ac:dyDescent="0.3"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</row>
    <row r="94" spans="13:25" x14ac:dyDescent="0.3"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</row>
    <row r="95" spans="13:25" x14ac:dyDescent="0.3"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</row>
    <row r="96" spans="13:25" x14ac:dyDescent="0.3"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</row>
    <row r="97" spans="13:25" x14ac:dyDescent="0.3"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</row>
    <row r="98" spans="13:25" x14ac:dyDescent="0.3"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</row>
    <row r="99" spans="13:25" x14ac:dyDescent="0.3"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</row>
    <row r="100" spans="13:25" x14ac:dyDescent="0.3"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</row>
    <row r="101" spans="13:25" x14ac:dyDescent="0.3"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</row>
    <row r="102" spans="13:25" x14ac:dyDescent="0.3"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</row>
    <row r="103" spans="13:25" x14ac:dyDescent="0.3"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</row>
    <row r="104" spans="13:25" x14ac:dyDescent="0.3"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</row>
    <row r="105" spans="13:25" x14ac:dyDescent="0.3"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</row>
    <row r="106" spans="13:25" x14ac:dyDescent="0.3"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</row>
    <row r="107" spans="13:25" x14ac:dyDescent="0.3"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</row>
    <row r="108" spans="13:25" x14ac:dyDescent="0.3"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</row>
    <row r="109" spans="13:25" x14ac:dyDescent="0.3"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</row>
    <row r="110" spans="13:25" x14ac:dyDescent="0.3"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</row>
    <row r="111" spans="13:25" x14ac:dyDescent="0.3"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</row>
    <row r="112" spans="13:25" x14ac:dyDescent="0.3"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</row>
    <row r="113" spans="13:25" x14ac:dyDescent="0.3"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</row>
    <row r="114" spans="13:25" x14ac:dyDescent="0.3"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</row>
    <row r="115" spans="13:25" x14ac:dyDescent="0.3"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</row>
    <row r="116" spans="13:25" x14ac:dyDescent="0.3"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</row>
    <row r="117" spans="13:25" x14ac:dyDescent="0.3"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</row>
    <row r="118" spans="13:25" x14ac:dyDescent="0.3"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</row>
    <row r="119" spans="13:25" x14ac:dyDescent="0.3"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</row>
    <row r="120" spans="13:25" x14ac:dyDescent="0.3"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</row>
    <row r="121" spans="13:25" x14ac:dyDescent="0.3"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</row>
    <row r="122" spans="13:25" x14ac:dyDescent="0.3"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</row>
    <row r="123" spans="13:25" x14ac:dyDescent="0.3"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</row>
    <row r="124" spans="13:25" x14ac:dyDescent="0.3"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</row>
    <row r="125" spans="13:25" x14ac:dyDescent="0.3"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</row>
    <row r="126" spans="13:25" x14ac:dyDescent="0.3"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</row>
    <row r="127" spans="13:25" x14ac:dyDescent="0.3"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</row>
    <row r="128" spans="13:25" x14ac:dyDescent="0.3"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</row>
    <row r="129" spans="13:25" x14ac:dyDescent="0.3"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</row>
    <row r="130" spans="13:25" x14ac:dyDescent="0.3"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</row>
    <row r="131" spans="13:25" x14ac:dyDescent="0.3"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</row>
    <row r="132" spans="13:25" x14ac:dyDescent="0.3"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</row>
    <row r="133" spans="13:25" x14ac:dyDescent="0.3"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</row>
    <row r="134" spans="13:25" x14ac:dyDescent="0.3"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</row>
    <row r="135" spans="13:25" x14ac:dyDescent="0.3"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</row>
    <row r="136" spans="13:25" x14ac:dyDescent="0.3"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</row>
    <row r="137" spans="13:25" x14ac:dyDescent="0.3"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</row>
    <row r="138" spans="13:25" x14ac:dyDescent="0.3"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</row>
    <row r="139" spans="13:25" x14ac:dyDescent="0.3"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</row>
    <row r="140" spans="13:25" x14ac:dyDescent="0.3"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</row>
    <row r="141" spans="13:25" x14ac:dyDescent="0.3"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</row>
    <row r="142" spans="13:25" x14ac:dyDescent="0.3"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</row>
  </sheetData>
  <mergeCells count="4">
    <mergeCell ref="A1:K1"/>
    <mergeCell ref="A2:K2"/>
    <mergeCell ref="M9:O9"/>
    <mergeCell ref="M11:O11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W141"/>
  <sheetViews>
    <sheetView showGridLines="0" tabSelected="1" workbookViewId="0">
      <selection activeCell="K3" sqref="K3"/>
    </sheetView>
  </sheetViews>
  <sheetFormatPr defaultRowHeight="12.45" x14ac:dyDescent="0.3"/>
  <cols>
    <col min="1" max="1" width="9.84375" customWidth="1"/>
    <col min="2" max="10" width="7.69140625" customWidth="1"/>
  </cols>
  <sheetData>
    <row r="1" spans="1:23" s="223" customFormat="1" ht="30" customHeight="1" x14ac:dyDescent="0.45">
      <c r="A1" s="523" t="s">
        <v>14</v>
      </c>
      <c r="B1" s="623"/>
      <c r="C1" s="623"/>
      <c r="D1" s="623"/>
      <c r="E1" s="623"/>
      <c r="F1" s="623"/>
      <c r="G1" s="623"/>
      <c r="H1" s="623"/>
      <c r="I1" s="623"/>
      <c r="J1" s="623"/>
      <c r="K1" s="623"/>
      <c r="L1" s="221"/>
      <c r="M1" s="221"/>
      <c r="N1" s="226"/>
      <c r="O1" s="226"/>
      <c r="P1" s="226"/>
      <c r="Q1" s="226"/>
      <c r="R1" s="226"/>
      <c r="S1" s="226"/>
      <c r="T1" s="226"/>
      <c r="U1" s="226"/>
      <c r="V1" s="226"/>
      <c r="W1" s="226"/>
    </row>
    <row r="2" spans="1:23" ht="24" customHeight="1" thickBot="1" x14ac:dyDescent="0.4">
      <c r="A2" s="612" t="s">
        <v>132</v>
      </c>
      <c r="B2" s="613"/>
      <c r="C2" s="613"/>
      <c r="D2" s="613"/>
      <c r="E2" s="613"/>
      <c r="F2" s="613"/>
      <c r="G2" s="613"/>
      <c r="H2" s="613"/>
      <c r="I2" s="613"/>
      <c r="J2" s="613"/>
      <c r="K2" s="613"/>
      <c r="L2" s="211"/>
      <c r="M2" s="211"/>
      <c r="N2" s="214"/>
      <c r="O2" s="214"/>
      <c r="P2" s="1"/>
      <c r="Q2" s="1"/>
      <c r="R2" s="1"/>
      <c r="S2" s="1"/>
      <c r="T2" s="1"/>
      <c r="U2" s="1"/>
      <c r="V2" s="1"/>
      <c r="W2" s="1"/>
    </row>
    <row r="3" spans="1:23" ht="21.9" customHeight="1" thickTop="1" thickBot="1" x14ac:dyDescent="0.35">
      <c r="A3" s="58" t="s">
        <v>43</v>
      </c>
      <c r="B3" s="96">
        <v>4</v>
      </c>
      <c r="C3" s="97">
        <v>6</v>
      </c>
      <c r="D3" s="97">
        <v>8</v>
      </c>
      <c r="E3" s="97">
        <v>10</v>
      </c>
      <c r="F3" s="97">
        <v>15</v>
      </c>
      <c r="G3" s="97">
        <v>20</v>
      </c>
      <c r="H3" s="97">
        <v>25</v>
      </c>
      <c r="I3" s="97">
        <v>30</v>
      </c>
      <c r="J3" s="98">
        <v>35</v>
      </c>
      <c r="K3" s="98">
        <v>40</v>
      </c>
      <c r="L3" s="64"/>
      <c r="M3" s="64"/>
      <c r="N3" s="64"/>
      <c r="O3" s="64"/>
      <c r="P3" s="64"/>
      <c r="Q3" s="64"/>
      <c r="R3" s="64"/>
      <c r="S3" s="64"/>
      <c r="T3" s="64"/>
      <c r="U3" s="64"/>
      <c r="V3" s="1"/>
      <c r="W3" s="1"/>
    </row>
    <row r="4" spans="1:23" ht="17.25" customHeight="1" thickTop="1" x14ac:dyDescent="0.3">
      <c r="A4" s="9" t="s">
        <v>3</v>
      </c>
      <c r="B4" s="26">
        <v>4</v>
      </c>
      <c r="C4" s="27">
        <v>6</v>
      </c>
      <c r="D4" s="27">
        <v>8</v>
      </c>
      <c r="E4" s="27">
        <v>10</v>
      </c>
      <c r="F4" s="27">
        <v>15</v>
      </c>
      <c r="G4" s="27">
        <v>20</v>
      </c>
      <c r="H4" s="27">
        <v>25</v>
      </c>
      <c r="I4" s="27">
        <v>30</v>
      </c>
      <c r="J4" s="27">
        <v>35</v>
      </c>
      <c r="K4" s="28">
        <v>35</v>
      </c>
      <c r="L4" s="65"/>
      <c r="M4" s="35"/>
      <c r="N4" s="66"/>
      <c r="O4" s="66"/>
      <c r="P4" s="66"/>
      <c r="Q4" s="66"/>
      <c r="R4" s="66"/>
      <c r="S4" s="66"/>
      <c r="T4" s="66"/>
      <c r="U4" s="66"/>
      <c r="V4" s="1"/>
      <c r="W4" s="1"/>
    </row>
    <row r="5" spans="1:23" ht="17.25" customHeight="1" x14ac:dyDescent="0.3">
      <c r="A5" s="14">
        <v>3.2</v>
      </c>
      <c r="B5" s="105">
        <v>100</v>
      </c>
      <c r="C5" s="106">
        <v>100</v>
      </c>
      <c r="D5" s="106">
        <v>100</v>
      </c>
      <c r="E5" s="106">
        <v>100</v>
      </c>
      <c r="F5" s="106">
        <v>100</v>
      </c>
      <c r="G5" s="106">
        <v>100</v>
      </c>
      <c r="H5" s="106">
        <v>100</v>
      </c>
      <c r="I5" s="106">
        <v>100</v>
      </c>
      <c r="J5" s="106">
        <v>100</v>
      </c>
      <c r="K5" s="107">
        <v>100</v>
      </c>
      <c r="L5" s="35"/>
      <c r="M5" s="67"/>
      <c r="N5" s="67"/>
      <c r="O5" s="67"/>
      <c r="P5" s="67"/>
      <c r="Q5" s="67"/>
      <c r="R5" s="67"/>
      <c r="S5" s="67"/>
      <c r="T5" s="67"/>
      <c r="U5" s="67"/>
      <c r="V5" s="1"/>
      <c r="W5" s="1"/>
    </row>
    <row r="6" spans="1:23" ht="17.25" customHeight="1" x14ac:dyDescent="0.3">
      <c r="A6" s="14">
        <v>4</v>
      </c>
      <c r="B6" s="105">
        <v>99.2</v>
      </c>
      <c r="C6" s="106">
        <v>99.2</v>
      </c>
      <c r="D6" s="106">
        <v>99</v>
      </c>
      <c r="E6" s="106">
        <v>98.8</v>
      </c>
      <c r="F6" s="106">
        <v>98.3</v>
      </c>
      <c r="G6" s="106">
        <v>98</v>
      </c>
      <c r="H6" s="106">
        <v>97.8</v>
      </c>
      <c r="I6" s="106">
        <v>97.7</v>
      </c>
      <c r="J6" s="106">
        <v>97.6</v>
      </c>
      <c r="K6" s="107">
        <v>97.6</v>
      </c>
      <c r="L6" s="35"/>
      <c r="M6" s="67"/>
      <c r="N6" s="67"/>
      <c r="O6" s="67"/>
      <c r="P6" s="67"/>
      <c r="Q6" s="67"/>
      <c r="R6" s="67"/>
      <c r="S6" s="67"/>
      <c r="T6" s="67"/>
      <c r="U6" s="67"/>
      <c r="V6" s="1"/>
      <c r="W6" s="1"/>
    </row>
    <row r="7" spans="1:23" ht="17.25" customHeight="1" x14ac:dyDescent="0.3">
      <c r="A7" s="14">
        <v>5</v>
      </c>
      <c r="B7" s="105">
        <v>96.4</v>
      </c>
      <c r="C7" s="106">
        <v>96.6</v>
      </c>
      <c r="D7" s="106">
        <v>96.5</v>
      </c>
      <c r="E7" s="106">
        <v>96.2</v>
      </c>
      <c r="F7" s="106">
        <v>95.5</v>
      </c>
      <c r="G7" s="106">
        <v>94.9</v>
      </c>
      <c r="H7" s="106">
        <v>94.7</v>
      </c>
      <c r="I7" s="106">
        <v>94.6</v>
      </c>
      <c r="J7" s="106">
        <v>94.6</v>
      </c>
      <c r="K7" s="107">
        <v>94.6</v>
      </c>
      <c r="L7" s="35"/>
      <c r="M7" s="67"/>
      <c r="N7" s="67"/>
      <c r="O7" s="67"/>
      <c r="P7" s="67"/>
      <c r="Q7" s="67"/>
      <c r="R7" s="67"/>
      <c r="S7" s="67"/>
      <c r="T7" s="67"/>
      <c r="U7" s="67"/>
      <c r="V7" s="1"/>
      <c r="W7" s="1"/>
    </row>
    <row r="8" spans="1:23" ht="24.9" customHeight="1" x14ac:dyDescent="0.3">
      <c r="A8" s="14">
        <v>6</v>
      </c>
      <c r="B8" s="105">
        <v>92.8</v>
      </c>
      <c r="C8" s="106">
        <v>93.2</v>
      </c>
      <c r="D8" s="106">
        <v>93.1</v>
      </c>
      <c r="E8" s="106">
        <v>92.8</v>
      </c>
      <c r="F8" s="106">
        <v>92.1</v>
      </c>
      <c r="G8" s="106">
        <v>91.6</v>
      </c>
      <c r="H8" s="106">
        <v>91.4</v>
      </c>
      <c r="I8" s="106">
        <v>91.3</v>
      </c>
      <c r="J8" s="106">
        <v>91.4</v>
      </c>
      <c r="K8" s="107">
        <v>91.4</v>
      </c>
      <c r="L8" s="35"/>
      <c r="M8" s="617" t="s">
        <v>27</v>
      </c>
      <c r="N8" s="618"/>
      <c r="O8" s="618"/>
      <c r="P8" s="67"/>
      <c r="Q8" s="67"/>
      <c r="R8" s="67"/>
      <c r="S8" s="67"/>
      <c r="T8" s="67"/>
      <c r="U8" s="67"/>
      <c r="V8" s="1"/>
      <c r="W8" s="1"/>
    </row>
    <row r="9" spans="1:23" ht="17.25" customHeight="1" thickBot="1" x14ac:dyDescent="0.35">
      <c r="A9" s="14">
        <v>7</v>
      </c>
      <c r="B9" s="105">
        <v>89</v>
      </c>
      <c r="C9" s="106">
        <v>89.4</v>
      </c>
      <c r="D9" s="106">
        <v>89.5</v>
      </c>
      <c r="E9" s="106">
        <v>89.3</v>
      </c>
      <c r="F9" s="106">
        <v>88.7</v>
      </c>
      <c r="G9" s="106">
        <v>88.3</v>
      </c>
      <c r="H9" s="106">
        <v>88.1</v>
      </c>
      <c r="I9" s="106">
        <v>88.1</v>
      </c>
      <c r="J9" s="106">
        <v>88.2</v>
      </c>
      <c r="K9" s="107">
        <v>88.3</v>
      </c>
      <c r="L9" s="35"/>
      <c r="M9" s="67"/>
      <c r="N9" s="67"/>
      <c r="O9" s="67"/>
      <c r="P9" s="67"/>
      <c r="Q9" s="67"/>
      <c r="R9" s="67"/>
      <c r="S9" s="67"/>
      <c r="T9" s="67"/>
      <c r="U9" s="67"/>
      <c r="V9" s="1"/>
      <c r="W9" s="1"/>
    </row>
    <row r="10" spans="1:23" ht="17.25" customHeight="1" thickBot="1" x14ac:dyDescent="0.35">
      <c r="A10" s="14">
        <v>8</v>
      </c>
      <c r="B10" s="105">
        <v>85.1</v>
      </c>
      <c r="C10" s="106">
        <v>85.7</v>
      </c>
      <c r="D10" s="106">
        <v>85.8</v>
      </c>
      <c r="E10" s="106">
        <v>85.8</v>
      </c>
      <c r="F10" s="106">
        <v>85.4</v>
      </c>
      <c r="G10" s="106">
        <v>85</v>
      </c>
      <c r="H10" s="106">
        <v>84.9</v>
      </c>
      <c r="I10" s="106">
        <v>84.9</v>
      </c>
      <c r="J10" s="106">
        <v>85</v>
      </c>
      <c r="K10" s="107">
        <v>85.2</v>
      </c>
      <c r="L10" s="35"/>
      <c r="M10" s="614" t="s">
        <v>18</v>
      </c>
      <c r="N10" s="645"/>
      <c r="O10" s="646"/>
      <c r="P10" s="67"/>
      <c r="Q10" s="67"/>
      <c r="R10" s="67"/>
      <c r="S10" s="67"/>
      <c r="T10" s="67"/>
      <c r="U10" s="67"/>
      <c r="V10" s="1"/>
      <c r="W10" s="1"/>
    </row>
    <row r="11" spans="1:23" ht="17.25" customHeight="1" thickBot="1" x14ac:dyDescent="0.35">
      <c r="A11" s="14">
        <v>9</v>
      </c>
      <c r="B11" s="105">
        <v>81.3</v>
      </c>
      <c r="C11" s="106">
        <v>82.1</v>
      </c>
      <c r="D11" s="106">
        <v>82.3</v>
      </c>
      <c r="E11" s="106">
        <v>82.3</v>
      </c>
      <c r="F11" s="106">
        <v>82</v>
      </c>
      <c r="G11" s="106">
        <v>81.8</v>
      </c>
      <c r="H11" s="106">
        <v>81.7</v>
      </c>
      <c r="I11" s="106">
        <v>81.8</v>
      </c>
      <c r="J11" s="106">
        <v>82</v>
      </c>
      <c r="K11" s="107">
        <v>82.2</v>
      </c>
      <c r="L11" s="35"/>
      <c r="M11" s="155" t="s">
        <v>2</v>
      </c>
      <c r="N11" s="147" t="s">
        <v>34</v>
      </c>
      <c r="O11" s="148" t="s">
        <v>24</v>
      </c>
      <c r="P11" s="67"/>
      <c r="Q11" s="67"/>
      <c r="R11" s="67"/>
      <c r="S11" s="67"/>
      <c r="T11" s="67"/>
      <c r="U11" s="67"/>
      <c r="V11" s="1"/>
      <c r="W11" s="1"/>
    </row>
    <row r="12" spans="1:23" ht="17.25" customHeight="1" thickBot="1" x14ac:dyDescent="0.35">
      <c r="A12" s="14">
        <v>10</v>
      </c>
      <c r="B12" s="105">
        <v>77.7</v>
      </c>
      <c r="C12" s="106">
        <v>78.599999999999994</v>
      </c>
      <c r="D12" s="106">
        <v>78.900000000000006</v>
      </c>
      <c r="E12" s="106">
        <v>79</v>
      </c>
      <c r="F12" s="106">
        <v>78.900000000000006</v>
      </c>
      <c r="G12" s="106">
        <v>78.8</v>
      </c>
      <c r="H12" s="106">
        <v>78.8</v>
      </c>
      <c r="I12" s="106">
        <v>78.900000000000006</v>
      </c>
      <c r="J12" s="106">
        <v>79.099999999999994</v>
      </c>
      <c r="K12" s="107">
        <v>79.3</v>
      </c>
      <c r="L12" s="35"/>
      <c r="M12" s="394">
        <v>10</v>
      </c>
      <c r="N12" s="463">
        <v>10</v>
      </c>
      <c r="O12" s="444">
        <f>Interpolate2DTable(M12,N12,A4:K32)</f>
        <v>79</v>
      </c>
      <c r="P12" s="67"/>
      <c r="Q12" s="67"/>
      <c r="R12" s="67"/>
      <c r="S12" s="67"/>
      <c r="T12" s="67"/>
      <c r="U12" s="67"/>
      <c r="V12" s="1"/>
      <c r="W12" s="1"/>
    </row>
    <row r="13" spans="1:23" ht="24.9" customHeight="1" x14ac:dyDescent="0.3">
      <c r="A13" s="14">
        <v>11</v>
      </c>
      <c r="B13" s="105">
        <v>74.2</v>
      </c>
      <c r="C13" s="106">
        <v>75.099999999999994</v>
      </c>
      <c r="D13" s="106">
        <v>75.5</v>
      </c>
      <c r="E13" s="106">
        <v>75.7</v>
      </c>
      <c r="F13" s="106">
        <v>75.8</v>
      </c>
      <c r="G13" s="106">
        <v>75.7</v>
      </c>
      <c r="H13" s="106">
        <v>75.8</v>
      </c>
      <c r="I13" s="106">
        <v>76</v>
      </c>
      <c r="J13" s="106">
        <v>76.2</v>
      </c>
      <c r="K13" s="107">
        <v>76.5</v>
      </c>
      <c r="L13" s="35"/>
      <c r="M13" s="67"/>
      <c r="N13" s="67"/>
      <c r="O13" s="67"/>
      <c r="P13" s="67"/>
      <c r="Q13" s="67"/>
      <c r="R13" s="67"/>
      <c r="S13" s="67"/>
      <c r="T13" s="67"/>
      <c r="U13" s="67"/>
      <c r="V13" s="1"/>
      <c r="W13" s="1"/>
    </row>
    <row r="14" spans="1:23" ht="17.25" customHeight="1" x14ac:dyDescent="0.3">
      <c r="A14" s="14">
        <v>12</v>
      </c>
      <c r="B14" s="105">
        <v>71</v>
      </c>
      <c r="C14" s="106">
        <v>71.900000000000006</v>
      </c>
      <c r="D14" s="106">
        <v>72.400000000000006</v>
      </c>
      <c r="E14" s="106">
        <v>72.7</v>
      </c>
      <c r="F14" s="106">
        <v>72.900000000000006</v>
      </c>
      <c r="G14" s="106">
        <v>73</v>
      </c>
      <c r="H14" s="106">
        <v>73.099999999999994</v>
      </c>
      <c r="I14" s="106">
        <v>73.3</v>
      </c>
      <c r="J14" s="106">
        <v>73.5</v>
      </c>
      <c r="K14" s="107">
        <v>73.8</v>
      </c>
      <c r="L14" s="35"/>
      <c r="M14" s="67"/>
      <c r="N14" s="568"/>
      <c r="O14" s="581"/>
      <c r="P14" s="67"/>
      <c r="Q14" s="67"/>
      <c r="R14" s="67"/>
      <c r="S14" s="67"/>
      <c r="T14" s="67"/>
      <c r="U14" s="67"/>
      <c r="V14" s="1"/>
      <c r="W14" s="1"/>
    </row>
    <row r="15" spans="1:23" ht="17.25" customHeight="1" x14ac:dyDescent="0.3">
      <c r="A15" s="14">
        <v>13</v>
      </c>
      <c r="B15" s="105">
        <v>67.900000000000006</v>
      </c>
      <c r="C15" s="106">
        <v>68.8</v>
      </c>
      <c r="D15" s="106">
        <v>69.400000000000006</v>
      </c>
      <c r="E15" s="106">
        <v>69.7</v>
      </c>
      <c r="F15" s="106">
        <v>70</v>
      </c>
      <c r="G15" s="106">
        <v>70.2</v>
      </c>
      <c r="H15" s="106">
        <v>70.400000000000006</v>
      </c>
      <c r="I15" s="106">
        <v>70.599999999999994</v>
      </c>
      <c r="J15" s="106">
        <v>70.900000000000006</v>
      </c>
      <c r="K15" s="107">
        <v>71.099999999999994</v>
      </c>
      <c r="L15" s="35"/>
      <c r="M15" s="67"/>
      <c r="N15" s="159"/>
      <c r="O15" s="1"/>
      <c r="P15" s="67"/>
      <c r="Q15" s="67"/>
      <c r="R15" s="67"/>
      <c r="S15" s="67"/>
      <c r="T15" s="67"/>
      <c r="U15" s="67"/>
      <c r="V15" s="1"/>
      <c r="W15" s="1"/>
    </row>
    <row r="16" spans="1:23" ht="17.25" customHeight="1" x14ac:dyDescent="0.3">
      <c r="A16" s="14">
        <v>14</v>
      </c>
      <c r="B16" s="105">
        <v>64.8</v>
      </c>
      <c r="C16" s="106">
        <v>65.8</v>
      </c>
      <c r="D16" s="106">
        <v>66.400000000000006</v>
      </c>
      <c r="E16" s="106">
        <v>66.8</v>
      </c>
      <c r="F16" s="106">
        <v>67.2</v>
      </c>
      <c r="G16" s="106">
        <v>67.5</v>
      </c>
      <c r="H16" s="106">
        <v>67.7</v>
      </c>
      <c r="I16" s="106">
        <v>68</v>
      </c>
      <c r="J16" s="106">
        <v>68.3</v>
      </c>
      <c r="K16" s="107">
        <v>68.5</v>
      </c>
      <c r="L16" s="35"/>
      <c r="M16" s="67"/>
      <c r="N16" s="160"/>
      <c r="O16" s="1"/>
      <c r="P16" s="67"/>
      <c r="Q16" s="67"/>
      <c r="R16" s="67"/>
      <c r="S16" s="67"/>
      <c r="T16" s="67"/>
      <c r="U16" s="67"/>
      <c r="V16" s="1"/>
      <c r="W16" s="1"/>
    </row>
    <row r="17" spans="1:23" ht="17.25" customHeight="1" x14ac:dyDescent="0.3">
      <c r="A17" s="14">
        <v>15</v>
      </c>
      <c r="B17" s="105">
        <v>61.9</v>
      </c>
      <c r="C17" s="106">
        <v>62.9</v>
      </c>
      <c r="D17" s="106">
        <v>63.6</v>
      </c>
      <c r="E17" s="106">
        <v>64.099999999999994</v>
      </c>
      <c r="F17" s="106">
        <v>64.599999999999994</v>
      </c>
      <c r="G17" s="106">
        <v>64.900000000000006</v>
      </c>
      <c r="H17" s="106">
        <v>65.2</v>
      </c>
      <c r="I17" s="106">
        <v>65.5</v>
      </c>
      <c r="J17" s="106">
        <v>65.8</v>
      </c>
      <c r="K17" s="107">
        <v>66</v>
      </c>
      <c r="L17" s="35"/>
      <c r="M17" s="67"/>
      <c r="N17" s="67"/>
      <c r="O17" s="67"/>
      <c r="P17" s="67"/>
      <c r="Q17" s="67"/>
      <c r="R17" s="67"/>
      <c r="S17" s="67"/>
      <c r="T17" s="67"/>
      <c r="U17" s="67"/>
      <c r="V17" s="1"/>
      <c r="W17" s="1"/>
    </row>
    <row r="18" spans="1:23" ht="24.9" customHeight="1" x14ac:dyDescent="0.3">
      <c r="A18" s="14">
        <v>16</v>
      </c>
      <c r="B18" s="105">
        <v>59.1</v>
      </c>
      <c r="C18" s="106">
        <v>60.2</v>
      </c>
      <c r="D18" s="106">
        <v>60.9</v>
      </c>
      <c r="E18" s="106">
        <v>61.4</v>
      </c>
      <c r="F18" s="106">
        <v>62</v>
      </c>
      <c r="G18" s="106">
        <v>62.4</v>
      </c>
      <c r="H18" s="106">
        <v>62.7</v>
      </c>
      <c r="I18" s="106">
        <v>63</v>
      </c>
      <c r="J18" s="106">
        <v>63.3</v>
      </c>
      <c r="K18" s="107">
        <v>63.6</v>
      </c>
      <c r="L18" s="35"/>
      <c r="M18" s="67"/>
      <c r="N18" s="67"/>
      <c r="O18" s="67"/>
      <c r="P18" s="67"/>
      <c r="Q18" s="67"/>
      <c r="R18" s="67"/>
      <c r="S18" s="67"/>
      <c r="T18" s="67"/>
      <c r="U18" s="67"/>
      <c r="V18" s="1"/>
      <c r="W18" s="1"/>
    </row>
    <row r="19" spans="1:23" ht="17.25" customHeight="1" x14ac:dyDescent="0.3">
      <c r="A19" s="14">
        <v>17</v>
      </c>
      <c r="B19" s="105">
        <v>56.6</v>
      </c>
      <c r="C19" s="106">
        <v>57.7</v>
      </c>
      <c r="D19" s="106">
        <v>58.4</v>
      </c>
      <c r="E19" s="106">
        <v>58.9</v>
      </c>
      <c r="F19" s="106">
        <v>59.6</v>
      </c>
      <c r="G19" s="106">
        <v>60</v>
      </c>
      <c r="H19" s="106">
        <v>60.4</v>
      </c>
      <c r="I19" s="106">
        <v>60.7</v>
      </c>
      <c r="J19" s="106">
        <v>61</v>
      </c>
      <c r="K19" s="107">
        <v>61.3</v>
      </c>
      <c r="L19" s="35"/>
      <c r="M19" s="67"/>
      <c r="N19" s="67"/>
      <c r="O19" s="67"/>
      <c r="P19" s="67"/>
      <c r="Q19" s="67"/>
      <c r="R19" s="67"/>
      <c r="S19" s="67"/>
      <c r="T19" s="67"/>
      <c r="U19" s="67"/>
      <c r="V19" s="1"/>
      <c r="W19" s="1"/>
    </row>
    <row r="20" spans="1:23" ht="17.25" customHeight="1" x14ac:dyDescent="0.3">
      <c r="A20" s="14">
        <v>18</v>
      </c>
      <c r="B20" s="105">
        <v>54.1</v>
      </c>
      <c r="C20" s="106">
        <v>55.2</v>
      </c>
      <c r="D20" s="106">
        <v>55.9</v>
      </c>
      <c r="E20" s="106">
        <v>56.5</v>
      </c>
      <c r="F20" s="106">
        <v>57.3</v>
      </c>
      <c r="G20" s="106">
        <v>57.7</v>
      </c>
      <c r="H20" s="106">
        <v>58.1</v>
      </c>
      <c r="I20" s="106">
        <v>58.5</v>
      </c>
      <c r="J20" s="106">
        <v>58.8</v>
      </c>
      <c r="K20" s="107">
        <v>59.1</v>
      </c>
      <c r="L20" s="35"/>
      <c r="M20" s="67"/>
      <c r="N20" s="67"/>
      <c r="O20" s="67"/>
      <c r="P20" s="67"/>
      <c r="Q20" s="67"/>
      <c r="R20" s="67"/>
      <c r="S20" s="67"/>
      <c r="T20" s="67"/>
      <c r="U20" s="67"/>
      <c r="V20" s="1"/>
      <c r="W20" s="1"/>
    </row>
    <row r="21" spans="1:23" ht="17.25" customHeight="1" x14ac:dyDescent="0.3">
      <c r="A21" s="14">
        <v>19</v>
      </c>
      <c r="B21" s="105">
        <v>51.8</v>
      </c>
      <c r="C21" s="106">
        <v>52.9</v>
      </c>
      <c r="D21" s="106">
        <v>53.6</v>
      </c>
      <c r="E21" s="106">
        <v>54.2</v>
      </c>
      <c r="F21" s="106">
        <v>55</v>
      </c>
      <c r="G21" s="106">
        <v>55.5</v>
      </c>
      <c r="H21" s="106">
        <v>55.9</v>
      </c>
      <c r="I21" s="106">
        <v>56.3</v>
      </c>
      <c r="J21" s="106">
        <v>56.6</v>
      </c>
      <c r="K21" s="107">
        <v>56.9</v>
      </c>
      <c r="L21" s="35"/>
      <c r="M21" s="67"/>
      <c r="N21" s="67"/>
      <c r="O21" s="67"/>
      <c r="P21" s="67"/>
      <c r="Q21" s="67"/>
      <c r="R21" s="67"/>
      <c r="S21" s="67"/>
      <c r="T21" s="67"/>
      <c r="U21" s="67"/>
      <c r="V21" s="1"/>
      <c r="W21" s="1"/>
    </row>
    <row r="22" spans="1:23" ht="17.25" customHeight="1" x14ac:dyDescent="0.3">
      <c r="A22" s="14">
        <v>20</v>
      </c>
      <c r="B22" s="105">
        <v>49.6</v>
      </c>
      <c r="C22" s="106">
        <v>50.7</v>
      </c>
      <c r="D22" s="106">
        <v>51.4</v>
      </c>
      <c r="E22" s="106">
        <v>52</v>
      </c>
      <c r="F22" s="106">
        <v>52.8</v>
      </c>
      <c r="G22" s="106">
        <v>53.4</v>
      </c>
      <c r="H22" s="106">
        <v>53.9</v>
      </c>
      <c r="I22" s="106">
        <v>54.3</v>
      </c>
      <c r="J22" s="106">
        <v>54.6</v>
      </c>
      <c r="K22" s="107">
        <v>54.9</v>
      </c>
      <c r="L22" s="35"/>
      <c r="M22" s="67"/>
      <c r="N22" s="67"/>
      <c r="O22" s="67"/>
      <c r="P22" s="67"/>
      <c r="Q22" s="67"/>
      <c r="R22" s="67"/>
      <c r="S22" s="67"/>
      <c r="T22" s="67"/>
      <c r="U22" s="67"/>
      <c r="V22" s="1"/>
      <c r="W22" s="1"/>
    </row>
    <row r="23" spans="1:23" ht="24.9" customHeight="1" x14ac:dyDescent="0.3">
      <c r="A23" s="14">
        <v>21</v>
      </c>
      <c r="B23" s="105">
        <v>47.5</v>
      </c>
      <c r="C23" s="106">
        <v>48.6</v>
      </c>
      <c r="D23" s="106">
        <v>49.3</v>
      </c>
      <c r="E23" s="106">
        <v>49.9</v>
      </c>
      <c r="F23" s="106">
        <v>50.8</v>
      </c>
      <c r="G23" s="106">
        <v>51.4</v>
      </c>
      <c r="H23" s="106">
        <v>51.9</v>
      </c>
      <c r="I23" s="106">
        <v>52.3</v>
      </c>
      <c r="J23" s="106">
        <v>52.6</v>
      </c>
      <c r="K23" s="107">
        <v>52.9</v>
      </c>
      <c r="L23" s="35"/>
      <c r="M23" s="67"/>
      <c r="N23" s="67"/>
      <c r="O23" s="67"/>
      <c r="P23" s="67"/>
      <c r="Q23" s="67"/>
      <c r="R23" s="67"/>
      <c r="S23" s="67"/>
      <c r="T23" s="67"/>
      <c r="U23" s="67"/>
      <c r="V23" s="1"/>
      <c r="W23" s="1"/>
    </row>
    <row r="24" spans="1:23" ht="17.25" customHeight="1" x14ac:dyDescent="0.3">
      <c r="A24" s="14">
        <v>22</v>
      </c>
      <c r="B24" s="105">
        <v>45.4</v>
      </c>
      <c r="C24" s="106">
        <v>46.5</v>
      </c>
      <c r="D24" s="106">
        <v>47.2</v>
      </c>
      <c r="E24" s="106">
        <v>47.8</v>
      </c>
      <c r="F24" s="106">
        <v>48.8</v>
      </c>
      <c r="G24" s="106">
        <v>49.4</v>
      </c>
      <c r="H24" s="106">
        <v>49.9</v>
      </c>
      <c r="I24" s="106">
        <v>50.3</v>
      </c>
      <c r="J24" s="106">
        <v>50.6</v>
      </c>
      <c r="K24" s="107">
        <v>50.9</v>
      </c>
      <c r="L24" s="35"/>
      <c r="M24" s="67"/>
      <c r="N24" s="67"/>
      <c r="O24" s="67"/>
      <c r="P24" s="67"/>
      <c r="Q24" s="67"/>
      <c r="R24" s="67"/>
      <c r="S24" s="67"/>
      <c r="T24" s="67"/>
      <c r="U24" s="67"/>
      <c r="V24" s="1"/>
      <c r="W24" s="1"/>
    </row>
    <row r="25" spans="1:23" ht="17.25" customHeight="1" x14ac:dyDescent="0.3">
      <c r="A25" s="14">
        <v>23</v>
      </c>
      <c r="B25" s="105">
        <v>43.4</v>
      </c>
      <c r="C25" s="106">
        <v>44.5</v>
      </c>
      <c r="D25" s="106">
        <v>45.3</v>
      </c>
      <c r="E25" s="106">
        <v>45.9</v>
      </c>
      <c r="F25" s="106">
        <v>46.9</v>
      </c>
      <c r="G25" s="106">
        <v>47.6</v>
      </c>
      <c r="H25" s="106">
        <v>48.1</v>
      </c>
      <c r="I25" s="106">
        <v>48.5</v>
      </c>
      <c r="J25" s="106">
        <v>48.8</v>
      </c>
      <c r="K25" s="107">
        <v>49.1</v>
      </c>
      <c r="L25" s="35"/>
      <c r="M25" s="67"/>
      <c r="N25" s="67"/>
      <c r="O25" s="67"/>
      <c r="P25" s="67"/>
      <c r="Q25" s="67"/>
      <c r="R25" s="67"/>
      <c r="S25" s="67"/>
      <c r="T25" s="67"/>
      <c r="U25" s="67"/>
      <c r="V25" s="1"/>
      <c r="W25" s="1"/>
    </row>
    <row r="26" spans="1:23" ht="17.25" customHeight="1" x14ac:dyDescent="0.3">
      <c r="A26" s="14">
        <v>24</v>
      </c>
      <c r="B26" s="105">
        <v>41.6</v>
      </c>
      <c r="C26" s="106">
        <v>42.7</v>
      </c>
      <c r="D26" s="106">
        <v>43.4</v>
      </c>
      <c r="E26" s="106">
        <v>44</v>
      </c>
      <c r="F26" s="106">
        <v>45</v>
      </c>
      <c r="G26" s="106">
        <v>45.7</v>
      </c>
      <c r="H26" s="106">
        <v>46.2</v>
      </c>
      <c r="I26" s="106">
        <v>46.6</v>
      </c>
      <c r="J26" s="106">
        <v>46.9</v>
      </c>
      <c r="K26" s="107">
        <v>47.2</v>
      </c>
      <c r="L26" s="35"/>
      <c r="M26" s="67"/>
      <c r="N26" s="67"/>
      <c r="O26" s="67"/>
      <c r="P26" s="67"/>
      <c r="Q26" s="67"/>
      <c r="R26" s="67"/>
      <c r="S26" s="67"/>
      <c r="T26" s="67"/>
      <c r="U26" s="67"/>
      <c r="V26" s="1"/>
      <c r="W26" s="1"/>
    </row>
    <row r="27" spans="1:23" ht="17.25" customHeight="1" x14ac:dyDescent="0.3">
      <c r="A27" s="14">
        <v>25</v>
      </c>
      <c r="B27" s="105">
        <v>39.799999999999997</v>
      </c>
      <c r="C27" s="106">
        <v>40.9</v>
      </c>
      <c r="D27" s="106">
        <v>41.6</v>
      </c>
      <c r="E27" s="106">
        <v>42.2</v>
      </c>
      <c r="F27" s="106">
        <v>43.3</v>
      </c>
      <c r="G27" s="106">
        <v>44</v>
      </c>
      <c r="H27" s="106">
        <v>44.5</v>
      </c>
      <c r="I27" s="106">
        <v>44.9</v>
      </c>
      <c r="J27" s="106">
        <v>45.2</v>
      </c>
      <c r="K27" s="107">
        <v>45.5</v>
      </c>
      <c r="L27" s="35"/>
      <c r="M27" s="67"/>
      <c r="N27" s="67"/>
      <c r="O27" s="67"/>
      <c r="P27" s="67"/>
      <c r="Q27" s="67"/>
      <c r="R27" s="67"/>
      <c r="S27" s="67"/>
      <c r="T27" s="67"/>
      <c r="U27" s="67"/>
      <c r="V27" s="1"/>
      <c r="W27" s="1"/>
    </row>
    <row r="28" spans="1:23" ht="24.9" customHeight="1" x14ac:dyDescent="0.3">
      <c r="A28" s="14">
        <v>26</v>
      </c>
      <c r="B28" s="105">
        <v>38.200000000000003</v>
      </c>
      <c r="C28" s="106">
        <v>39.200000000000003</v>
      </c>
      <c r="D28" s="106">
        <v>39.9</v>
      </c>
      <c r="E28" s="106">
        <v>40.5</v>
      </c>
      <c r="F28" s="106">
        <v>41.6</v>
      </c>
      <c r="G28" s="106">
        <v>42.3</v>
      </c>
      <c r="H28" s="106">
        <v>42.8</v>
      </c>
      <c r="I28" s="106">
        <v>43.2</v>
      </c>
      <c r="J28" s="106">
        <v>43.5</v>
      </c>
      <c r="K28" s="107">
        <v>43.8</v>
      </c>
      <c r="L28" s="35"/>
      <c r="M28" s="67"/>
      <c r="N28" s="67"/>
      <c r="O28" s="67"/>
      <c r="P28" s="67"/>
      <c r="Q28" s="67"/>
      <c r="R28" s="67"/>
      <c r="S28" s="67"/>
      <c r="T28" s="67"/>
      <c r="U28" s="67"/>
      <c r="V28" s="1"/>
      <c r="W28" s="1"/>
    </row>
    <row r="29" spans="1:23" ht="17.25" customHeight="1" x14ac:dyDescent="0.3">
      <c r="A29" s="14">
        <v>27</v>
      </c>
      <c r="B29" s="105">
        <v>36.6</v>
      </c>
      <c r="C29" s="106">
        <v>37.6</v>
      </c>
      <c r="D29" s="106">
        <v>38.299999999999997</v>
      </c>
      <c r="E29" s="106">
        <v>38.9</v>
      </c>
      <c r="F29" s="106">
        <v>40</v>
      </c>
      <c r="G29" s="106">
        <v>40.700000000000003</v>
      </c>
      <c r="H29" s="106">
        <v>41.2</v>
      </c>
      <c r="I29" s="106">
        <v>41.6</v>
      </c>
      <c r="J29" s="106">
        <v>41.9</v>
      </c>
      <c r="K29" s="107">
        <v>42.2</v>
      </c>
      <c r="L29" s="35"/>
      <c r="M29" s="67"/>
      <c r="N29" s="67"/>
      <c r="O29" s="67"/>
      <c r="P29" s="67"/>
      <c r="Q29" s="67"/>
      <c r="R29" s="67"/>
      <c r="S29" s="67"/>
      <c r="T29" s="67"/>
      <c r="U29" s="67"/>
      <c r="V29" s="1"/>
      <c r="W29" s="1"/>
    </row>
    <row r="30" spans="1:23" ht="17.25" customHeight="1" x14ac:dyDescent="0.3">
      <c r="A30" s="14">
        <v>28</v>
      </c>
      <c r="B30" s="105">
        <v>35</v>
      </c>
      <c r="C30" s="106">
        <v>36</v>
      </c>
      <c r="D30" s="106">
        <v>36.700000000000003</v>
      </c>
      <c r="E30" s="106">
        <v>37.299999999999997</v>
      </c>
      <c r="F30" s="106">
        <v>38.4</v>
      </c>
      <c r="G30" s="106">
        <v>39.1</v>
      </c>
      <c r="H30" s="106">
        <v>39.6</v>
      </c>
      <c r="I30" s="106">
        <v>40</v>
      </c>
      <c r="J30" s="106">
        <v>40.299999999999997</v>
      </c>
      <c r="K30" s="107">
        <v>40.6</v>
      </c>
      <c r="L30" s="35"/>
      <c r="M30" s="67"/>
      <c r="N30" s="67"/>
      <c r="O30" s="67"/>
      <c r="P30" s="67"/>
      <c r="Q30" s="67"/>
      <c r="R30" s="67"/>
      <c r="S30" s="67"/>
      <c r="T30" s="67"/>
      <c r="U30" s="67"/>
      <c r="V30" s="1"/>
      <c r="W30" s="1"/>
    </row>
    <row r="31" spans="1:23" s="36" customFormat="1" ht="17.25" customHeight="1" x14ac:dyDescent="0.3">
      <c r="A31" s="14">
        <v>29</v>
      </c>
      <c r="B31" s="105">
        <v>33.5</v>
      </c>
      <c r="C31" s="106">
        <v>34.5</v>
      </c>
      <c r="D31" s="106">
        <v>35.200000000000003</v>
      </c>
      <c r="E31" s="106">
        <v>35.799999999999997</v>
      </c>
      <c r="F31" s="106">
        <v>36.9</v>
      </c>
      <c r="G31" s="106">
        <v>37.6</v>
      </c>
      <c r="H31" s="106">
        <v>38.1</v>
      </c>
      <c r="I31" s="106">
        <v>38.5</v>
      </c>
      <c r="J31" s="106">
        <v>38.799999999999997</v>
      </c>
      <c r="K31" s="107">
        <v>39.1</v>
      </c>
      <c r="L31" s="69"/>
      <c r="M31" s="68"/>
      <c r="N31" s="68"/>
      <c r="O31" s="68"/>
      <c r="P31" s="68"/>
      <c r="Q31" s="68"/>
      <c r="R31" s="68"/>
      <c r="S31" s="68"/>
      <c r="T31" s="68"/>
      <c r="U31" s="68"/>
      <c r="V31" s="5"/>
      <c r="W31" s="5"/>
    </row>
    <row r="32" spans="1:23" s="36" customFormat="1" ht="17.25" customHeight="1" thickBot="1" x14ac:dyDescent="0.35">
      <c r="A32" s="18">
        <v>30</v>
      </c>
      <c r="B32" s="108">
        <v>32.1</v>
      </c>
      <c r="C32" s="109">
        <v>33.1</v>
      </c>
      <c r="D32" s="109">
        <v>33.799999999999997</v>
      </c>
      <c r="E32" s="109">
        <v>34.4</v>
      </c>
      <c r="F32" s="109">
        <v>35.5</v>
      </c>
      <c r="G32" s="109">
        <v>36.200000000000003</v>
      </c>
      <c r="H32" s="109">
        <v>36.700000000000003</v>
      </c>
      <c r="I32" s="109">
        <v>37.1</v>
      </c>
      <c r="J32" s="109">
        <v>37.4</v>
      </c>
      <c r="K32" s="110">
        <v>37.700000000000003</v>
      </c>
      <c r="L32" s="69"/>
      <c r="M32" s="68"/>
      <c r="N32" s="68"/>
      <c r="O32" s="68"/>
      <c r="P32" s="68"/>
      <c r="Q32" s="68"/>
      <c r="R32" s="68"/>
      <c r="S32" s="68"/>
      <c r="T32" s="68"/>
      <c r="U32" s="68"/>
      <c r="V32" s="5"/>
      <c r="W32" s="5"/>
    </row>
    <row r="33" spans="1:23" ht="17.25" customHeight="1" thickTop="1" x14ac:dyDescent="0.3">
      <c r="A33" s="10"/>
      <c r="B33" s="10"/>
      <c r="C33" s="10"/>
      <c r="D33" s="10"/>
      <c r="E33" s="24"/>
      <c r="F33" s="71"/>
      <c r="G33" s="71"/>
      <c r="H33" s="71"/>
      <c r="I33" s="71"/>
      <c r="J33" s="71"/>
      <c r="K33" s="10"/>
      <c r="L33" s="35"/>
      <c r="M33" s="39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ht="17.25" customHeight="1" x14ac:dyDescent="0.3">
      <c r="A34" s="10"/>
      <c r="B34" s="10"/>
      <c r="C34" s="10"/>
      <c r="D34" s="10"/>
      <c r="E34" s="24"/>
      <c r="F34" s="70"/>
      <c r="G34" s="70"/>
      <c r="H34" s="70"/>
      <c r="I34" s="70"/>
      <c r="J34" s="70"/>
      <c r="K34" s="10"/>
      <c r="L34" s="35"/>
      <c r="M34" s="39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ht="17.25" customHeight="1" x14ac:dyDescent="0.3">
      <c r="A35" s="10"/>
      <c r="B35" s="10"/>
      <c r="C35" s="10"/>
      <c r="D35" s="10"/>
      <c r="E35" s="24"/>
      <c r="F35" s="24"/>
      <c r="G35" s="24"/>
      <c r="H35" s="24"/>
      <c r="I35" s="24"/>
      <c r="J35" s="24"/>
      <c r="K35" s="10"/>
      <c r="L35" s="35"/>
      <c r="M35" s="39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ht="17.25" customHeight="1" x14ac:dyDescent="0.3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35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ht="17.25" customHeight="1" x14ac:dyDescent="0.3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35"/>
      <c r="M37" s="39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ht="17.25" customHeight="1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35"/>
      <c r="M38" s="39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35"/>
      <c r="M39" s="39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35"/>
      <c r="M40" s="39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35"/>
      <c r="M41" s="39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35"/>
      <c r="M42" s="39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6"/>
      <c r="B43" s="6"/>
      <c r="C43" s="6"/>
      <c r="D43" s="6"/>
      <c r="E43" s="6"/>
      <c r="F43" s="6"/>
      <c r="G43" s="6"/>
      <c r="H43" s="10"/>
      <c r="I43" s="10"/>
      <c r="J43" s="10"/>
      <c r="K43" s="6"/>
      <c r="L43" s="39"/>
      <c r="M43" s="39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6"/>
      <c r="B44" s="6"/>
      <c r="C44" s="6"/>
      <c r="D44" s="6"/>
      <c r="E44" s="6"/>
      <c r="F44" s="6"/>
      <c r="G44" s="6"/>
      <c r="H44" s="10"/>
      <c r="I44" s="10"/>
      <c r="J44" s="10"/>
      <c r="K44" s="6"/>
      <c r="L44" s="39"/>
      <c r="M44" s="39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3">
      <c r="A45" s="6"/>
      <c r="B45" s="6"/>
      <c r="C45" s="6"/>
      <c r="D45" s="6"/>
      <c r="E45" s="6"/>
      <c r="F45" s="6"/>
      <c r="G45" s="6"/>
      <c r="H45" s="10"/>
      <c r="I45" s="10"/>
      <c r="J45" s="10"/>
      <c r="K45" s="6"/>
      <c r="L45" s="39"/>
      <c r="M45" s="39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6"/>
      <c r="B46" s="6"/>
      <c r="C46" s="6"/>
      <c r="D46" s="6"/>
      <c r="E46" s="6"/>
      <c r="F46" s="6"/>
      <c r="G46" s="6"/>
      <c r="H46" s="10"/>
      <c r="I46" s="10"/>
      <c r="J46" s="10"/>
      <c r="K46" s="6"/>
      <c r="L46" s="39"/>
      <c r="M46" s="39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6"/>
      <c r="B47" s="6"/>
      <c r="C47" s="6"/>
      <c r="D47" s="6"/>
      <c r="E47" s="6"/>
      <c r="F47" s="6"/>
      <c r="G47" s="6"/>
      <c r="H47" s="10"/>
      <c r="I47" s="10"/>
      <c r="J47" s="10"/>
      <c r="K47" s="6"/>
      <c r="L47" s="39"/>
      <c r="M47" s="39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3">
      <c r="A48" s="6"/>
      <c r="B48" s="6"/>
      <c r="C48" s="6"/>
      <c r="D48" s="6"/>
      <c r="E48" s="6"/>
      <c r="F48" s="6"/>
      <c r="G48" s="6"/>
      <c r="H48" s="10"/>
      <c r="I48" s="10"/>
      <c r="J48" s="10"/>
      <c r="K48" s="6"/>
      <c r="L48" s="39"/>
      <c r="M48" s="39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8:23" x14ac:dyDescent="0.3">
      <c r="H49" s="10"/>
      <c r="I49" s="10"/>
      <c r="J49" s="10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8:23" x14ac:dyDescent="0.3">
      <c r="H50" s="10"/>
      <c r="I50" s="10"/>
      <c r="J50" s="10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8:23" x14ac:dyDescent="0.3">
      <c r="H51" s="10"/>
      <c r="I51" s="10"/>
      <c r="J51" s="10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8:23" x14ac:dyDescent="0.3">
      <c r="H52" s="10"/>
      <c r="I52" s="10"/>
      <c r="J52" s="10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8:23" x14ac:dyDescent="0.3">
      <c r="H53" s="10"/>
      <c r="I53" s="10"/>
      <c r="J53" s="10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8:23" x14ac:dyDescent="0.3">
      <c r="H54" s="10"/>
      <c r="I54" s="10"/>
      <c r="J54" s="10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8:23" x14ac:dyDescent="0.3">
      <c r="H55" s="10"/>
      <c r="I55" s="10"/>
      <c r="J55" s="10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8:23" x14ac:dyDescent="0.3">
      <c r="H56" s="10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8:23" x14ac:dyDescent="0.3">
      <c r="H57" s="10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8:23" x14ac:dyDescent="0.3">
      <c r="H58" s="10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8:23" x14ac:dyDescent="0.3">
      <c r="H59" s="10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8:23" x14ac:dyDescent="0.3">
      <c r="H60" s="10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8:23" x14ac:dyDescent="0.3"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8:23" x14ac:dyDescent="0.3"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8:23" x14ac:dyDescent="0.3"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8:23" x14ac:dyDescent="0.3"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2:23" x14ac:dyDescent="0.3"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2:23" x14ac:dyDescent="0.3"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2:23" x14ac:dyDescent="0.3"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2:23" x14ac:dyDescent="0.3"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2:23" x14ac:dyDescent="0.3"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2:23" x14ac:dyDescent="0.3"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2:23" x14ac:dyDescent="0.3"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2:23" x14ac:dyDescent="0.3"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2:23" x14ac:dyDescent="0.3"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2:23" x14ac:dyDescent="0.3"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2:23" x14ac:dyDescent="0.3"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2:23" x14ac:dyDescent="0.3"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2:23" x14ac:dyDescent="0.3"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2:23" x14ac:dyDescent="0.3"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2:23" x14ac:dyDescent="0.3"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2:23" x14ac:dyDescent="0.3"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2:23" x14ac:dyDescent="0.3"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2:23" x14ac:dyDescent="0.3"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2:23" x14ac:dyDescent="0.3"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2:23" x14ac:dyDescent="0.3"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2:23" x14ac:dyDescent="0.3"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2:23" x14ac:dyDescent="0.3"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2:23" x14ac:dyDescent="0.3"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2:23" x14ac:dyDescent="0.3"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2:23" x14ac:dyDescent="0.3"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2:23" x14ac:dyDescent="0.3"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2:23" x14ac:dyDescent="0.3"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2:23" x14ac:dyDescent="0.3"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2:23" x14ac:dyDescent="0.3"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2:23" x14ac:dyDescent="0.3"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2:23" x14ac:dyDescent="0.3"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2:23" x14ac:dyDescent="0.3"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2:23" x14ac:dyDescent="0.3"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2:23" x14ac:dyDescent="0.3"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2:23" x14ac:dyDescent="0.3"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2:23" x14ac:dyDescent="0.3"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2:23" x14ac:dyDescent="0.3"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2:23" x14ac:dyDescent="0.3"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2:23" x14ac:dyDescent="0.3"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2:23" x14ac:dyDescent="0.3"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2:23" x14ac:dyDescent="0.3"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2:23" x14ac:dyDescent="0.3"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2:23" x14ac:dyDescent="0.3"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2:23" x14ac:dyDescent="0.3"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2:23" x14ac:dyDescent="0.3"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2:23" x14ac:dyDescent="0.3"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2:23" x14ac:dyDescent="0.3"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2:23" x14ac:dyDescent="0.3"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2:23" x14ac:dyDescent="0.3"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2:23" x14ac:dyDescent="0.3"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2:23" x14ac:dyDescent="0.3"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2:23" x14ac:dyDescent="0.3"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2:23" x14ac:dyDescent="0.3"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2:23" x14ac:dyDescent="0.3"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2:23" x14ac:dyDescent="0.3"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2:23" x14ac:dyDescent="0.3"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2:23" x14ac:dyDescent="0.3"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2:23" x14ac:dyDescent="0.3"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2:23" x14ac:dyDescent="0.3"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2:23" x14ac:dyDescent="0.3"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2:23" x14ac:dyDescent="0.3"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2:23" x14ac:dyDescent="0.3"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2:23" x14ac:dyDescent="0.3"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2:23" x14ac:dyDescent="0.3"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2:23" x14ac:dyDescent="0.3"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2:23" x14ac:dyDescent="0.3"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2:23" x14ac:dyDescent="0.3"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2:23" x14ac:dyDescent="0.3"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2:23" x14ac:dyDescent="0.3"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2:23" x14ac:dyDescent="0.3"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2:23" x14ac:dyDescent="0.3"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2:23" x14ac:dyDescent="0.3"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2:23" x14ac:dyDescent="0.3"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2:23" x14ac:dyDescent="0.3"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2:23" x14ac:dyDescent="0.3"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2:23" x14ac:dyDescent="0.3"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2:23" x14ac:dyDescent="0.3"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</sheetData>
  <mergeCells count="5">
    <mergeCell ref="N14:O14"/>
    <mergeCell ref="A1:K1"/>
    <mergeCell ref="A2:K2"/>
    <mergeCell ref="M8:O8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Y141"/>
  <sheetViews>
    <sheetView showGridLines="0" zoomScaleNormal="100" workbookViewId="0">
      <selection activeCell="A3" sqref="A3"/>
    </sheetView>
  </sheetViews>
  <sheetFormatPr defaultRowHeight="12.45" x14ac:dyDescent="0.3"/>
  <cols>
    <col min="1" max="1" width="9.84375" customWidth="1"/>
    <col min="2" max="11" width="7.69140625" customWidth="1"/>
  </cols>
  <sheetData>
    <row r="1" spans="1:25" s="223" customFormat="1" ht="30" customHeight="1" x14ac:dyDescent="0.4">
      <c r="A1" s="523" t="s">
        <v>22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220"/>
      <c r="M1" s="221"/>
      <c r="N1" s="221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</row>
    <row r="2" spans="1:25" ht="24" customHeight="1" thickBot="1" x14ac:dyDescent="0.4">
      <c r="A2" s="647" t="s">
        <v>136</v>
      </c>
      <c r="B2" s="647"/>
      <c r="C2" s="647"/>
      <c r="D2" s="647"/>
      <c r="E2" s="647"/>
      <c r="F2" s="647"/>
      <c r="G2" s="647"/>
      <c r="H2" s="647"/>
      <c r="I2" s="647"/>
      <c r="J2" s="647"/>
      <c r="K2" s="647"/>
      <c r="L2" s="210"/>
      <c r="M2" s="211"/>
      <c r="N2" s="211"/>
      <c r="O2" s="214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1.9" customHeight="1" thickTop="1" thickBot="1" x14ac:dyDescent="0.35">
      <c r="A3" s="58" t="s">
        <v>37</v>
      </c>
      <c r="B3" s="96">
        <v>4</v>
      </c>
      <c r="C3" s="97">
        <v>6</v>
      </c>
      <c r="D3" s="97">
        <v>8</v>
      </c>
      <c r="E3" s="97">
        <v>10</v>
      </c>
      <c r="F3" s="97">
        <v>15</v>
      </c>
      <c r="G3" s="97">
        <v>20</v>
      </c>
      <c r="H3" s="97">
        <v>25</v>
      </c>
      <c r="I3" s="97">
        <v>30</v>
      </c>
      <c r="J3" s="97">
        <v>35</v>
      </c>
      <c r="K3" s="98">
        <v>40</v>
      </c>
      <c r="L3" s="6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1"/>
      <c r="Y3" s="1"/>
    </row>
    <row r="4" spans="1:25" ht="14.4" customHeight="1" thickTop="1" x14ac:dyDescent="0.3">
      <c r="A4" s="38" t="s">
        <v>3</v>
      </c>
      <c r="B4" s="26">
        <v>4</v>
      </c>
      <c r="C4" s="27">
        <v>6</v>
      </c>
      <c r="D4" s="27">
        <v>8</v>
      </c>
      <c r="E4" s="27">
        <v>10</v>
      </c>
      <c r="F4" s="27">
        <v>15</v>
      </c>
      <c r="G4" s="27">
        <v>20</v>
      </c>
      <c r="H4" s="27">
        <v>25</v>
      </c>
      <c r="I4" s="27">
        <v>30</v>
      </c>
      <c r="J4" s="27">
        <v>35</v>
      </c>
      <c r="K4" s="28">
        <v>40</v>
      </c>
      <c r="L4" s="10"/>
      <c r="M4" s="65"/>
      <c r="N4" s="35"/>
      <c r="O4" s="66"/>
      <c r="P4" s="66"/>
      <c r="Q4" s="66"/>
      <c r="R4" s="66"/>
      <c r="S4" s="66"/>
      <c r="T4" s="66"/>
      <c r="U4" s="66"/>
      <c r="V4" s="66"/>
      <c r="W4" s="66"/>
      <c r="X4" s="1"/>
      <c r="Y4" s="1"/>
    </row>
    <row r="5" spans="1:25" ht="16.649999999999999" customHeight="1" x14ac:dyDescent="0.3">
      <c r="A5" s="56">
        <v>3.2</v>
      </c>
      <c r="B5" s="72">
        <v>1</v>
      </c>
      <c r="C5" s="73">
        <v>1</v>
      </c>
      <c r="D5" s="73">
        <v>1</v>
      </c>
      <c r="E5" s="73">
        <v>1</v>
      </c>
      <c r="F5" s="73">
        <v>1</v>
      </c>
      <c r="G5" s="73">
        <v>1</v>
      </c>
      <c r="H5" s="73">
        <v>1</v>
      </c>
      <c r="I5" s="73">
        <v>1</v>
      </c>
      <c r="J5" s="73">
        <v>1</v>
      </c>
      <c r="K5" s="74">
        <v>1</v>
      </c>
      <c r="L5" s="10"/>
      <c r="M5" s="35"/>
      <c r="N5" s="67"/>
      <c r="O5" s="67"/>
      <c r="P5" s="67"/>
      <c r="Q5" s="67"/>
      <c r="R5" s="67"/>
      <c r="S5" s="67"/>
      <c r="T5" s="67"/>
      <c r="U5" s="67"/>
      <c r="V5" s="67"/>
      <c r="W5" s="67"/>
      <c r="X5" s="1"/>
      <c r="Y5" s="1"/>
    </row>
    <row r="6" spans="1:25" ht="16.649999999999999" customHeight="1" x14ac:dyDescent="0.3">
      <c r="A6" s="57">
        <v>4</v>
      </c>
      <c r="B6" s="72">
        <v>1.0069999999999999</v>
      </c>
      <c r="C6" s="73">
        <v>1.0069999999999999</v>
      </c>
      <c r="D6" s="73">
        <v>1.0049999999999999</v>
      </c>
      <c r="E6" s="73">
        <v>1.004</v>
      </c>
      <c r="F6" s="73">
        <v>0.999</v>
      </c>
      <c r="G6" s="73">
        <v>0.995</v>
      </c>
      <c r="H6" s="73">
        <v>0.99299999999999999</v>
      </c>
      <c r="I6" s="73">
        <v>0.99199999999999999</v>
      </c>
      <c r="J6" s="73">
        <v>0.99099999999999999</v>
      </c>
      <c r="K6" s="74">
        <v>0.99099999999999999</v>
      </c>
      <c r="L6" s="10"/>
      <c r="M6" s="35"/>
      <c r="N6" s="67"/>
      <c r="O6" s="67"/>
      <c r="P6" s="67"/>
      <c r="Q6" s="67"/>
      <c r="R6" s="67"/>
      <c r="S6" s="67"/>
      <c r="T6" s="67"/>
      <c r="U6" s="67"/>
      <c r="V6" s="67"/>
      <c r="W6" s="67"/>
      <c r="X6" s="1"/>
      <c r="Y6" s="1"/>
    </row>
    <row r="7" spans="1:25" ht="16.649999999999999" customHeight="1" x14ac:dyDescent="0.3">
      <c r="A7" s="57">
        <v>5</v>
      </c>
      <c r="B7" s="72">
        <v>0.997</v>
      </c>
      <c r="C7" s="73">
        <v>1</v>
      </c>
      <c r="D7" s="73">
        <v>0.999</v>
      </c>
      <c r="E7" s="73">
        <v>0.996</v>
      </c>
      <c r="F7" s="73">
        <v>0.98899999999999999</v>
      </c>
      <c r="G7" s="73">
        <v>0.98299999999999998</v>
      </c>
      <c r="H7" s="73">
        <v>0.98</v>
      </c>
      <c r="I7" s="73">
        <v>0.97899999999999998</v>
      </c>
      <c r="J7" s="73">
        <v>0.97899999999999998</v>
      </c>
      <c r="K7" s="74">
        <v>0.97899999999999998</v>
      </c>
      <c r="L7" s="10"/>
      <c r="M7" s="35"/>
      <c r="N7" s="67"/>
      <c r="O7" s="67"/>
      <c r="P7" s="67"/>
      <c r="Q7" s="67"/>
      <c r="R7" s="67"/>
      <c r="S7" s="67"/>
      <c r="T7" s="67"/>
      <c r="U7" s="67"/>
      <c r="V7" s="67"/>
      <c r="W7" s="67"/>
      <c r="X7" s="1"/>
      <c r="Y7" s="1"/>
    </row>
    <row r="8" spans="1:25" ht="24.9" customHeight="1" x14ac:dyDescent="0.3">
      <c r="A8" s="57">
        <v>6</v>
      </c>
      <c r="B8" s="72">
        <v>0.97799999999999998</v>
      </c>
      <c r="C8" s="73">
        <v>0.98199999999999998</v>
      </c>
      <c r="D8" s="73">
        <v>0.98199999999999998</v>
      </c>
      <c r="E8" s="73">
        <v>0.97899999999999998</v>
      </c>
      <c r="F8" s="73">
        <v>0.97199999999999998</v>
      </c>
      <c r="G8" s="73">
        <v>0.96699999999999997</v>
      </c>
      <c r="H8" s="73">
        <v>0.96399999999999997</v>
      </c>
      <c r="I8" s="73">
        <v>0.96299999999999997</v>
      </c>
      <c r="J8" s="73">
        <v>0.96299999999999997</v>
      </c>
      <c r="K8" s="74">
        <v>0.96399999999999997</v>
      </c>
      <c r="L8" s="10"/>
      <c r="M8" s="145"/>
      <c r="N8" s="145"/>
      <c r="O8" s="145"/>
      <c r="P8" s="67"/>
      <c r="Q8" s="67"/>
      <c r="R8" s="67"/>
      <c r="S8" s="67"/>
      <c r="T8" s="67"/>
      <c r="U8" s="67"/>
      <c r="V8" s="67"/>
      <c r="W8" s="67"/>
      <c r="X8" s="1"/>
      <c r="Y8" s="1"/>
    </row>
    <row r="9" spans="1:25" ht="16.649999999999999" customHeight="1" x14ac:dyDescent="0.3">
      <c r="A9" s="57">
        <v>7</v>
      </c>
      <c r="B9" s="72">
        <v>0.95499999999999996</v>
      </c>
      <c r="C9" s="73">
        <v>0.96</v>
      </c>
      <c r="D9" s="73">
        <v>0.96099999999999997</v>
      </c>
      <c r="E9" s="73">
        <v>0.96</v>
      </c>
      <c r="F9" s="73">
        <v>0.95399999999999996</v>
      </c>
      <c r="G9" s="73">
        <v>0.94899999999999995</v>
      </c>
      <c r="H9" s="73">
        <v>0.94699999999999995</v>
      </c>
      <c r="I9" s="73">
        <v>0.94599999999999995</v>
      </c>
      <c r="J9" s="73">
        <v>0.94699999999999995</v>
      </c>
      <c r="K9" s="74">
        <v>0.94799999999999995</v>
      </c>
      <c r="L9" s="10"/>
      <c r="M9" s="145"/>
      <c r="N9" s="145"/>
      <c r="O9" s="145"/>
      <c r="P9" s="67"/>
      <c r="Q9" s="67"/>
      <c r="R9" s="67"/>
      <c r="S9" s="67"/>
      <c r="T9" s="67"/>
      <c r="U9" s="67"/>
      <c r="V9" s="67"/>
      <c r="W9" s="67"/>
      <c r="X9" s="1"/>
      <c r="Y9" s="1"/>
    </row>
    <row r="10" spans="1:25" ht="16.649999999999999" customHeight="1" x14ac:dyDescent="0.3">
      <c r="A10" s="57">
        <v>8</v>
      </c>
      <c r="B10" s="72">
        <v>0.93</v>
      </c>
      <c r="C10" s="73">
        <v>0.93700000000000006</v>
      </c>
      <c r="D10" s="73">
        <v>0.93799999999999994</v>
      </c>
      <c r="E10" s="73">
        <v>0.93799999999999994</v>
      </c>
      <c r="F10" s="73">
        <v>0.93500000000000005</v>
      </c>
      <c r="G10" s="73">
        <v>0.93100000000000005</v>
      </c>
      <c r="H10" s="73">
        <v>0.92900000000000005</v>
      </c>
      <c r="I10" s="73">
        <v>0.92900000000000005</v>
      </c>
      <c r="J10" s="73">
        <v>0.92900000000000005</v>
      </c>
      <c r="K10" s="74">
        <v>0.93100000000000005</v>
      </c>
      <c r="L10" s="10"/>
      <c r="M10" s="617" t="s">
        <v>27</v>
      </c>
      <c r="N10" s="618"/>
      <c r="O10" s="618"/>
      <c r="P10" s="67"/>
      <c r="Q10" s="67"/>
      <c r="R10" s="67"/>
      <c r="S10" s="67"/>
      <c r="T10" s="67"/>
      <c r="U10" s="67"/>
      <c r="V10" s="67"/>
      <c r="W10" s="67"/>
      <c r="X10" s="1"/>
      <c r="Y10" s="1"/>
    </row>
    <row r="11" spans="1:25" ht="16.649999999999999" customHeight="1" thickBot="1" x14ac:dyDescent="0.35">
      <c r="A11" s="57">
        <v>9</v>
      </c>
      <c r="B11" s="72">
        <v>0.90400000000000003</v>
      </c>
      <c r="C11" s="73">
        <v>0.91300000000000003</v>
      </c>
      <c r="D11" s="73">
        <v>0.91600000000000004</v>
      </c>
      <c r="E11" s="73">
        <v>0.91700000000000004</v>
      </c>
      <c r="F11" s="73">
        <v>0.91400000000000003</v>
      </c>
      <c r="G11" s="73">
        <v>0.91100000000000003</v>
      </c>
      <c r="H11" s="73">
        <v>0.91100000000000003</v>
      </c>
      <c r="I11" s="73">
        <v>0.91100000000000003</v>
      </c>
      <c r="J11" s="73">
        <v>0.91200000000000003</v>
      </c>
      <c r="K11" s="74">
        <v>0.91400000000000003</v>
      </c>
      <c r="L11" s="10"/>
      <c r="M11" s="35"/>
      <c r="N11" s="67"/>
      <c r="O11" s="67"/>
      <c r="P11" s="67"/>
      <c r="T11" s="67"/>
      <c r="U11" s="67"/>
      <c r="V11" s="67"/>
      <c r="W11" s="67"/>
      <c r="X11" s="1"/>
      <c r="Y11" s="1"/>
    </row>
    <row r="12" spans="1:25" ht="16.649999999999999" customHeight="1" thickBot="1" x14ac:dyDescent="0.35">
      <c r="A12" s="57">
        <v>10</v>
      </c>
      <c r="B12" s="72">
        <v>0.879</v>
      </c>
      <c r="C12" s="73">
        <v>0.89</v>
      </c>
      <c r="D12" s="73">
        <v>0.89400000000000002</v>
      </c>
      <c r="E12" s="73">
        <v>0.89600000000000002</v>
      </c>
      <c r="F12" s="73">
        <v>0.89500000000000002</v>
      </c>
      <c r="G12" s="73">
        <v>0.89400000000000002</v>
      </c>
      <c r="H12" s="73">
        <v>0.89400000000000002</v>
      </c>
      <c r="I12" s="73">
        <v>0.89500000000000002</v>
      </c>
      <c r="J12" s="73">
        <v>0.89600000000000002</v>
      </c>
      <c r="K12" s="74">
        <v>0.89800000000000002</v>
      </c>
      <c r="L12" s="10"/>
      <c r="M12" s="619" t="s">
        <v>18</v>
      </c>
      <c r="N12" s="620"/>
      <c r="O12" s="621"/>
      <c r="P12" s="67"/>
      <c r="T12" s="67"/>
      <c r="U12" s="67"/>
      <c r="V12" s="67"/>
      <c r="W12" s="67"/>
      <c r="X12" s="1"/>
      <c r="Y12" s="1"/>
    </row>
    <row r="13" spans="1:25" ht="24.9" customHeight="1" thickBot="1" x14ac:dyDescent="0.35">
      <c r="A13" s="57">
        <v>11</v>
      </c>
      <c r="B13" s="72">
        <v>0.85499999999999998</v>
      </c>
      <c r="C13" s="73">
        <v>0.86499999999999999</v>
      </c>
      <c r="D13" s="73">
        <v>0.87</v>
      </c>
      <c r="E13" s="73">
        <v>0.873</v>
      </c>
      <c r="F13" s="73">
        <v>0.875</v>
      </c>
      <c r="G13" s="73">
        <v>0.874</v>
      </c>
      <c r="H13" s="73">
        <v>0.875</v>
      </c>
      <c r="I13" s="73">
        <v>0.876</v>
      </c>
      <c r="J13" s="73">
        <v>0.878</v>
      </c>
      <c r="K13" s="74">
        <v>0.88100000000000001</v>
      </c>
      <c r="L13" s="10"/>
      <c r="M13" s="155" t="s">
        <v>2</v>
      </c>
      <c r="N13" s="147" t="s">
        <v>39</v>
      </c>
      <c r="O13" s="148" t="s">
        <v>19</v>
      </c>
      <c r="P13" s="67"/>
      <c r="T13" s="67"/>
      <c r="U13" s="67"/>
      <c r="V13" s="67"/>
      <c r="W13" s="67"/>
      <c r="X13" s="1"/>
      <c r="Y13" s="1"/>
    </row>
    <row r="14" spans="1:25" ht="16.649999999999999" customHeight="1" thickBot="1" x14ac:dyDescent="0.35">
      <c r="A14" s="57">
        <v>12</v>
      </c>
      <c r="B14" s="72">
        <v>0.83199999999999996</v>
      </c>
      <c r="C14" s="73">
        <v>0.84199999999999997</v>
      </c>
      <c r="D14" s="73">
        <v>0.84899999999999998</v>
      </c>
      <c r="E14" s="73">
        <v>0.85299999999999998</v>
      </c>
      <c r="F14" s="73">
        <v>0.85599999999999998</v>
      </c>
      <c r="G14" s="73">
        <v>0.85699999999999998</v>
      </c>
      <c r="H14" s="73">
        <v>0.85799999999999998</v>
      </c>
      <c r="I14" s="73">
        <v>0.86</v>
      </c>
      <c r="J14" s="73">
        <v>0.86199999999999999</v>
      </c>
      <c r="K14" s="74">
        <v>0.86499999999999999</v>
      </c>
      <c r="L14" s="10"/>
      <c r="M14" s="394">
        <v>10</v>
      </c>
      <c r="N14" s="463">
        <v>10</v>
      </c>
      <c r="O14" s="148">
        <f>Interpolate2DTable(M14,N14,A4:K32)</f>
        <v>0.89600000000000002</v>
      </c>
      <c r="P14" s="67"/>
      <c r="T14" s="67"/>
      <c r="U14" s="67"/>
      <c r="V14" s="67"/>
      <c r="W14" s="67"/>
      <c r="X14" s="1"/>
      <c r="Y14" s="1"/>
    </row>
    <row r="15" spans="1:25" ht="16.649999999999999" customHeight="1" x14ac:dyDescent="0.3">
      <c r="A15" s="57">
        <v>13</v>
      </c>
      <c r="B15" s="72">
        <v>0.80900000000000005</v>
      </c>
      <c r="C15" s="73">
        <v>0.82</v>
      </c>
      <c r="D15" s="73">
        <v>0.82699999999999996</v>
      </c>
      <c r="E15" s="73">
        <v>0.83199999999999996</v>
      </c>
      <c r="F15" s="73">
        <v>0.83599999999999997</v>
      </c>
      <c r="G15" s="73">
        <v>0.83799999999999997</v>
      </c>
      <c r="H15" s="73">
        <v>0.84099999999999997</v>
      </c>
      <c r="I15" s="73">
        <v>0.84299999999999997</v>
      </c>
      <c r="J15" s="73">
        <v>0.84499999999999997</v>
      </c>
      <c r="K15" s="74">
        <v>0.84899999999999998</v>
      </c>
      <c r="L15" s="10"/>
      <c r="M15" s="35"/>
      <c r="N15" s="67"/>
      <c r="O15" s="67"/>
      <c r="P15" s="67"/>
      <c r="T15" s="67"/>
      <c r="U15" s="67"/>
      <c r="V15" s="67"/>
      <c r="W15" s="67"/>
      <c r="X15" s="1"/>
      <c r="Y15" s="1"/>
    </row>
    <row r="16" spans="1:25" ht="16.649999999999999" customHeight="1" x14ac:dyDescent="0.3">
      <c r="A16" s="57">
        <v>14</v>
      </c>
      <c r="B16" s="72">
        <v>0.78600000000000003</v>
      </c>
      <c r="C16" s="73">
        <v>0.79800000000000004</v>
      </c>
      <c r="D16" s="73">
        <v>0.80400000000000005</v>
      </c>
      <c r="E16" s="73">
        <v>0.81</v>
      </c>
      <c r="F16" s="73">
        <v>0.81599999999999995</v>
      </c>
      <c r="G16" s="73">
        <v>0.81899999999999995</v>
      </c>
      <c r="H16" s="73">
        <v>0.82199999999999995</v>
      </c>
      <c r="I16" s="73">
        <v>0.82499999999999996</v>
      </c>
      <c r="J16" s="73">
        <v>0.82799999999999996</v>
      </c>
      <c r="K16" s="74">
        <v>0.83199999999999996</v>
      </c>
      <c r="L16" s="10"/>
      <c r="M16" s="35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1"/>
      <c r="Y16" s="1"/>
    </row>
    <row r="17" spans="1:25" ht="16.649999999999999" customHeight="1" x14ac:dyDescent="0.3">
      <c r="A17" s="57">
        <v>15</v>
      </c>
      <c r="B17" s="72">
        <v>0.76300000000000001</v>
      </c>
      <c r="C17" s="73">
        <v>0.77500000000000002</v>
      </c>
      <c r="D17" s="73">
        <v>0.78300000000000003</v>
      </c>
      <c r="E17" s="73">
        <v>0.79</v>
      </c>
      <c r="F17" s="73">
        <v>0.79800000000000004</v>
      </c>
      <c r="G17" s="73">
        <v>0.80100000000000005</v>
      </c>
      <c r="H17" s="73">
        <v>0.80500000000000005</v>
      </c>
      <c r="I17" s="73">
        <v>0.80900000000000005</v>
      </c>
      <c r="J17" s="73">
        <v>0.81100000000000005</v>
      </c>
      <c r="K17" s="74">
        <v>0.81499999999999995</v>
      </c>
      <c r="L17" s="10"/>
      <c r="M17" s="35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1"/>
      <c r="Y17" s="1"/>
    </row>
    <row r="18" spans="1:25" ht="24.9" customHeight="1" x14ac:dyDescent="0.3">
      <c r="A18" s="57">
        <v>16</v>
      </c>
      <c r="B18" s="72">
        <v>0.74099999999999999</v>
      </c>
      <c r="C18" s="73">
        <v>0.753</v>
      </c>
      <c r="D18" s="73">
        <v>0.76200000000000001</v>
      </c>
      <c r="E18" s="73">
        <v>0.76900000000000002</v>
      </c>
      <c r="F18" s="73">
        <v>0.77800000000000002</v>
      </c>
      <c r="G18" s="73">
        <v>0.78200000000000003</v>
      </c>
      <c r="H18" s="73">
        <v>0.78700000000000003</v>
      </c>
      <c r="I18" s="73">
        <v>0.79100000000000004</v>
      </c>
      <c r="J18" s="73">
        <v>0.79400000000000004</v>
      </c>
      <c r="K18" s="74">
        <v>0.79700000000000004</v>
      </c>
      <c r="L18" s="10"/>
      <c r="M18" s="35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1"/>
      <c r="Y18" s="1"/>
    </row>
    <row r="19" spans="1:25" ht="16.649999999999999" customHeight="1" x14ac:dyDescent="0.3">
      <c r="A19" s="57">
        <v>17</v>
      </c>
      <c r="B19" s="72">
        <v>0.72099999999999997</v>
      </c>
      <c r="C19" s="73">
        <v>0.73399999999999999</v>
      </c>
      <c r="D19" s="73">
        <v>0.74299999999999999</v>
      </c>
      <c r="E19" s="73">
        <v>0.75</v>
      </c>
      <c r="F19" s="73">
        <v>0.76</v>
      </c>
      <c r="G19" s="73">
        <v>0.76500000000000001</v>
      </c>
      <c r="H19" s="73">
        <v>0.77</v>
      </c>
      <c r="I19" s="73">
        <v>0.77500000000000002</v>
      </c>
      <c r="J19" s="73">
        <v>0.77800000000000002</v>
      </c>
      <c r="K19" s="74">
        <v>0.78100000000000003</v>
      </c>
      <c r="L19" s="10"/>
      <c r="M19" s="35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1"/>
      <c r="Y19" s="1"/>
    </row>
    <row r="20" spans="1:25" ht="16.649999999999999" customHeight="1" x14ac:dyDescent="0.3">
      <c r="A20" s="57">
        <v>18</v>
      </c>
      <c r="B20" s="72">
        <v>0.70099999999999996</v>
      </c>
      <c r="C20" s="73">
        <v>0.71299999999999997</v>
      </c>
      <c r="D20" s="73">
        <v>0.72299999999999998</v>
      </c>
      <c r="E20" s="73">
        <v>0.73099999999999998</v>
      </c>
      <c r="F20" s="73">
        <v>0.74199999999999999</v>
      </c>
      <c r="G20" s="73">
        <v>0.748</v>
      </c>
      <c r="H20" s="73">
        <v>0.753</v>
      </c>
      <c r="I20" s="73">
        <v>0.75800000000000001</v>
      </c>
      <c r="J20" s="73">
        <v>0.76200000000000001</v>
      </c>
      <c r="K20" s="74">
        <v>0.76600000000000001</v>
      </c>
      <c r="L20" s="10"/>
      <c r="M20" s="35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1"/>
      <c r="Y20" s="1"/>
    </row>
    <row r="21" spans="1:25" ht="16.649999999999999" customHeight="1" x14ac:dyDescent="0.3">
      <c r="A21" s="57">
        <v>19</v>
      </c>
      <c r="B21" s="72">
        <v>0.68200000000000005</v>
      </c>
      <c r="C21" s="73">
        <v>0.69499999999999995</v>
      </c>
      <c r="D21" s="73">
        <v>0.70399999999999996</v>
      </c>
      <c r="E21" s="73">
        <v>0.71199999999999997</v>
      </c>
      <c r="F21" s="73">
        <v>0.72399999999999998</v>
      </c>
      <c r="G21" s="73">
        <v>0.73</v>
      </c>
      <c r="H21" s="73">
        <v>0.73599999999999999</v>
      </c>
      <c r="I21" s="73">
        <v>0.74099999999999999</v>
      </c>
      <c r="J21" s="73">
        <v>0.745</v>
      </c>
      <c r="K21" s="74">
        <v>0.749</v>
      </c>
      <c r="L21" s="10"/>
      <c r="M21" s="35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1"/>
      <c r="Y21" s="1"/>
    </row>
    <row r="22" spans="1:25" ht="16.649999999999999" customHeight="1" x14ac:dyDescent="0.3">
      <c r="A22" s="57">
        <v>20</v>
      </c>
      <c r="B22" s="72">
        <v>0.66300000000000003</v>
      </c>
      <c r="C22" s="73">
        <v>0.67700000000000005</v>
      </c>
      <c r="D22" s="73">
        <v>0.68600000000000005</v>
      </c>
      <c r="E22" s="73">
        <v>0.69399999999999995</v>
      </c>
      <c r="F22" s="73">
        <v>0.70599999999999996</v>
      </c>
      <c r="G22" s="73">
        <v>0.71299999999999997</v>
      </c>
      <c r="H22" s="73">
        <v>0.72</v>
      </c>
      <c r="I22" s="73">
        <v>0.72599999999999998</v>
      </c>
      <c r="J22" s="73">
        <v>0.73099999999999998</v>
      </c>
      <c r="K22" s="74">
        <v>0.73399999999999999</v>
      </c>
      <c r="L22" s="10"/>
      <c r="M22" s="35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1"/>
      <c r="Y22" s="1"/>
    </row>
    <row r="23" spans="1:25" ht="24.9" customHeight="1" x14ac:dyDescent="0.3">
      <c r="A23" s="57">
        <v>21</v>
      </c>
      <c r="B23" s="72">
        <v>0.64500000000000002</v>
      </c>
      <c r="C23" s="73">
        <v>0.65800000000000003</v>
      </c>
      <c r="D23" s="73">
        <v>0.66800000000000004</v>
      </c>
      <c r="E23" s="73">
        <v>0.67600000000000005</v>
      </c>
      <c r="F23" s="73">
        <v>0.68899999999999995</v>
      </c>
      <c r="G23" s="73">
        <v>0.69699999999999995</v>
      </c>
      <c r="H23" s="73">
        <v>0.70499999999999996</v>
      </c>
      <c r="I23" s="73">
        <v>0.71099999999999997</v>
      </c>
      <c r="J23" s="73">
        <v>0.71499999999999997</v>
      </c>
      <c r="K23" s="74">
        <v>0.71899999999999997</v>
      </c>
      <c r="L23" s="10"/>
      <c r="M23" s="35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1"/>
      <c r="Y23" s="1"/>
    </row>
    <row r="24" spans="1:25" ht="16.649999999999999" customHeight="1" x14ac:dyDescent="0.3">
      <c r="A24" s="57">
        <v>22</v>
      </c>
      <c r="B24" s="72">
        <v>0.627</v>
      </c>
      <c r="C24" s="73">
        <v>0.64</v>
      </c>
      <c r="D24" s="73">
        <v>0.65</v>
      </c>
      <c r="E24" s="73">
        <v>0.65700000000000003</v>
      </c>
      <c r="F24" s="73">
        <v>0.67200000000000004</v>
      </c>
      <c r="G24" s="73">
        <v>0.68</v>
      </c>
      <c r="H24" s="73">
        <v>0.68799999999999994</v>
      </c>
      <c r="I24" s="73">
        <v>0.69399999999999995</v>
      </c>
      <c r="J24" s="73">
        <v>0.69899999999999995</v>
      </c>
      <c r="K24" s="74">
        <v>0.70299999999999996</v>
      </c>
      <c r="L24" s="10"/>
      <c r="M24" s="35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1"/>
      <c r="Y24" s="1"/>
    </row>
    <row r="25" spans="1:25" ht="16.649999999999999" customHeight="1" x14ac:dyDescent="0.3">
      <c r="A25" s="57">
        <v>23</v>
      </c>
      <c r="B25" s="72">
        <v>0.60799999999999998</v>
      </c>
      <c r="C25" s="73">
        <v>0.622</v>
      </c>
      <c r="D25" s="73">
        <v>0.63300000000000001</v>
      </c>
      <c r="E25" s="73">
        <v>0.64100000000000001</v>
      </c>
      <c r="F25" s="73">
        <v>0.65600000000000003</v>
      </c>
      <c r="G25" s="73">
        <v>0.66500000000000004</v>
      </c>
      <c r="H25" s="73">
        <v>0.67300000000000004</v>
      </c>
      <c r="I25" s="73">
        <v>0.68</v>
      </c>
      <c r="J25" s="73">
        <v>0.68500000000000005</v>
      </c>
      <c r="K25" s="74">
        <v>0.68799999999999994</v>
      </c>
      <c r="L25" s="10"/>
      <c r="M25" s="35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1"/>
      <c r="Y25" s="1"/>
    </row>
    <row r="26" spans="1:25" ht="16.649999999999999" customHeight="1" x14ac:dyDescent="0.3">
      <c r="A26" s="57">
        <v>24</v>
      </c>
      <c r="B26" s="72">
        <v>0.59199999999999997</v>
      </c>
      <c r="C26" s="73">
        <v>0.60499999999999998</v>
      </c>
      <c r="D26" s="73">
        <v>0.61599999999999999</v>
      </c>
      <c r="E26" s="73">
        <v>0.624</v>
      </c>
      <c r="F26" s="73">
        <v>0.63900000000000001</v>
      </c>
      <c r="G26" s="73">
        <v>0.64800000000000002</v>
      </c>
      <c r="H26" s="73">
        <v>0.65700000000000003</v>
      </c>
      <c r="I26" s="73">
        <v>0.66300000000000003</v>
      </c>
      <c r="J26" s="73">
        <v>0.66800000000000004</v>
      </c>
      <c r="K26" s="74">
        <v>0.67200000000000004</v>
      </c>
      <c r="L26" s="10"/>
      <c r="M26" s="35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1"/>
      <c r="Y26" s="1"/>
    </row>
    <row r="27" spans="1:25" ht="16.649999999999999" customHeight="1" x14ac:dyDescent="0.3">
      <c r="A27" s="57">
        <v>25</v>
      </c>
      <c r="B27" s="72">
        <v>0.57599999999999996</v>
      </c>
      <c r="C27" s="73">
        <v>0.58799999999999997</v>
      </c>
      <c r="D27" s="73">
        <v>0.59899999999999998</v>
      </c>
      <c r="E27" s="73">
        <v>0.60799999999999998</v>
      </c>
      <c r="F27" s="73">
        <v>0.623</v>
      </c>
      <c r="G27" s="73">
        <v>0.63300000000000001</v>
      </c>
      <c r="H27" s="73">
        <v>0.64200000000000002</v>
      </c>
      <c r="I27" s="73">
        <v>0.64900000000000002</v>
      </c>
      <c r="J27" s="73">
        <v>0.65400000000000003</v>
      </c>
      <c r="K27" s="74">
        <v>0.65800000000000003</v>
      </c>
      <c r="L27" s="10"/>
      <c r="M27" s="35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1"/>
      <c r="Y27" s="1"/>
    </row>
    <row r="28" spans="1:25" ht="24.9" customHeight="1" x14ac:dyDescent="0.3">
      <c r="A28" s="57">
        <v>26</v>
      </c>
      <c r="B28" s="72">
        <v>0.56100000000000005</v>
      </c>
      <c r="C28" s="73">
        <v>0.57299999999999995</v>
      </c>
      <c r="D28" s="73">
        <v>0.58299999999999996</v>
      </c>
      <c r="E28" s="73">
        <v>0.59199999999999997</v>
      </c>
      <c r="F28" s="73">
        <v>0.60699999999999998</v>
      </c>
      <c r="G28" s="73">
        <v>0.61799999999999999</v>
      </c>
      <c r="H28" s="73">
        <v>0.627</v>
      </c>
      <c r="I28" s="73">
        <v>0.63400000000000001</v>
      </c>
      <c r="J28" s="73">
        <v>0.63900000000000001</v>
      </c>
      <c r="K28" s="74">
        <v>0.64300000000000002</v>
      </c>
      <c r="L28" s="10"/>
      <c r="M28" s="35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1"/>
      <c r="Y28" s="1"/>
    </row>
    <row r="29" spans="1:25" s="36" customFormat="1" ht="16.649999999999999" customHeight="1" x14ac:dyDescent="0.3">
      <c r="A29" s="57">
        <v>27</v>
      </c>
      <c r="B29" s="72">
        <v>0.54600000000000004</v>
      </c>
      <c r="C29" s="73">
        <v>0.55700000000000005</v>
      </c>
      <c r="D29" s="73">
        <v>0.56799999999999995</v>
      </c>
      <c r="E29" s="73">
        <v>0.57599999999999996</v>
      </c>
      <c r="F29" s="73">
        <v>0.59199999999999997</v>
      </c>
      <c r="G29" s="73">
        <v>0.60299999999999998</v>
      </c>
      <c r="H29" s="73">
        <v>0.61199999999999999</v>
      </c>
      <c r="I29" s="73">
        <v>0.61899999999999999</v>
      </c>
      <c r="J29" s="73">
        <v>0.624</v>
      </c>
      <c r="K29" s="74">
        <v>0.628</v>
      </c>
      <c r="L29" s="60"/>
      <c r="M29" s="69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5"/>
      <c r="Y29" s="5"/>
    </row>
    <row r="30" spans="1:25" s="36" customFormat="1" ht="16.649999999999999" customHeight="1" x14ac:dyDescent="0.3">
      <c r="A30" s="57">
        <v>28</v>
      </c>
      <c r="B30" s="72">
        <v>0.53</v>
      </c>
      <c r="C30" s="73">
        <v>0.54100000000000004</v>
      </c>
      <c r="D30" s="73">
        <v>0.55200000000000005</v>
      </c>
      <c r="E30" s="73">
        <v>0.56000000000000005</v>
      </c>
      <c r="F30" s="73">
        <v>0.57699999999999996</v>
      </c>
      <c r="G30" s="73">
        <v>0.58799999999999997</v>
      </c>
      <c r="H30" s="73">
        <v>0.59699999999999998</v>
      </c>
      <c r="I30" s="73">
        <v>0.60399999999999998</v>
      </c>
      <c r="J30" s="73">
        <v>0.60899999999999999</v>
      </c>
      <c r="K30" s="74">
        <v>0.61299999999999999</v>
      </c>
      <c r="L30" s="60"/>
      <c r="M30" s="69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5"/>
      <c r="Y30" s="5"/>
    </row>
    <row r="31" spans="1:25" s="36" customFormat="1" ht="16.649999999999999" customHeight="1" x14ac:dyDescent="0.3">
      <c r="A31" s="57">
        <v>29</v>
      </c>
      <c r="B31" s="72">
        <v>0.51400000000000001</v>
      </c>
      <c r="C31" s="73">
        <v>0.52600000000000002</v>
      </c>
      <c r="D31" s="73">
        <v>0.53700000000000003</v>
      </c>
      <c r="E31" s="73">
        <v>0.54600000000000004</v>
      </c>
      <c r="F31" s="73">
        <v>0.56200000000000006</v>
      </c>
      <c r="G31" s="73">
        <v>0.57299999999999995</v>
      </c>
      <c r="H31" s="73">
        <v>0.58299999999999996</v>
      </c>
      <c r="I31" s="73">
        <v>0.59</v>
      </c>
      <c r="J31" s="73">
        <v>0.59499999999999997</v>
      </c>
      <c r="K31" s="74">
        <v>0.59899999999999998</v>
      </c>
      <c r="L31" s="60"/>
      <c r="M31" s="69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5"/>
      <c r="Y31" s="5"/>
    </row>
    <row r="32" spans="1:25" s="36" customFormat="1" ht="16.649999999999999" customHeight="1" thickBot="1" x14ac:dyDescent="0.35">
      <c r="A32" s="59">
        <v>30</v>
      </c>
      <c r="B32" s="75">
        <v>0.5</v>
      </c>
      <c r="C32" s="76">
        <v>0.51200000000000001</v>
      </c>
      <c r="D32" s="76">
        <v>0.52300000000000002</v>
      </c>
      <c r="E32" s="76">
        <v>0.53200000000000003</v>
      </c>
      <c r="F32" s="76">
        <v>0.54800000000000004</v>
      </c>
      <c r="G32" s="76">
        <v>0.56000000000000005</v>
      </c>
      <c r="H32" s="76">
        <v>0.56899999999999995</v>
      </c>
      <c r="I32" s="76">
        <v>0.57599999999999996</v>
      </c>
      <c r="J32" s="76">
        <v>0.58199999999999996</v>
      </c>
      <c r="K32" s="77">
        <v>0.58599999999999997</v>
      </c>
      <c r="L32" s="60"/>
      <c r="M32" s="69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5"/>
      <c r="Y32" s="5"/>
    </row>
    <row r="33" spans="1:25" ht="17.25" customHeight="1" thickTop="1" x14ac:dyDescent="0.3">
      <c r="A33" s="10"/>
      <c r="B33" s="10"/>
      <c r="C33" s="10"/>
      <c r="D33" s="10"/>
      <c r="E33" s="24"/>
      <c r="F33" s="70"/>
      <c r="G33" s="70"/>
      <c r="H33" s="70"/>
      <c r="I33" s="70"/>
      <c r="J33" s="70"/>
      <c r="K33" s="70"/>
      <c r="L33" s="10"/>
      <c r="M33" s="35"/>
      <c r="N33" s="39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7.25" customHeight="1" x14ac:dyDescent="0.3">
      <c r="A34" s="10"/>
      <c r="B34" s="10"/>
      <c r="C34" s="10"/>
      <c r="D34" s="10"/>
      <c r="E34" s="24"/>
      <c r="F34" s="70"/>
      <c r="G34" s="70"/>
      <c r="H34" s="70"/>
      <c r="I34" s="70"/>
      <c r="J34" s="70"/>
      <c r="K34" s="70"/>
      <c r="L34" s="10"/>
      <c r="M34" s="35"/>
      <c r="N34" s="39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7.25" customHeight="1" x14ac:dyDescent="0.3">
      <c r="A35" s="10"/>
      <c r="B35" s="10"/>
      <c r="C35" s="10"/>
      <c r="D35" s="10"/>
      <c r="E35" s="24"/>
      <c r="F35" s="24"/>
      <c r="G35" s="24"/>
      <c r="H35" s="24"/>
      <c r="I35" s="24"/>
      <c r="J35" s="24"/>
      <c r="K35" s="24"/>
      <c r="L35" s="10"/>
      <c r="M35" s="35"/>
      <c r="N35" s="3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7.25" customHeight="1" x14ac:dyDescent="0.3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35"/>
      <c r="N36" s="39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7.25" customHeight="1" x14ac:dyDescent="0.3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35"/>
      <c r="N37" s="39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7.25" customHeight="1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35"/>
      <c r="N38" s="39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35"/>
      <c r="N39" s="3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35"/>
      <c r="N40" s="39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35"/>
      <c r="N41" s="39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35"/>
      <c r="N42" s="39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">
      <c r="A43" s="6"/>
      <c r="B43" s="6"/>
      <c r="C43" s="6"/>
      <c r="D43" s="6"/>
      <c r="E43" s="6"/>
      <c r="F43" s="6"/>
      <c r="G43" s="6"/>
      <c r="H43" s="10"/>
      <c r="I43" s="10"/>
      <c r="J43" s="10"/>
      <c r="K43" s="10"/>
      <c r="L43" s="6"/>
      <c r="M43" s="39"/>
      <c r="N43" s="39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39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">
      <c r="A46" s="6"/>
      <c r="B46" s="6"/>
      <c r="C46" s="6"/>
      <c r="D46" s="6"/>
      <c r="E46" s="6"/>
      <c r="F46" s="6"/>
      <c r="G46" s="6"/>
      <c r="H46" s="10"/>
      <c r="I46" s="10"/>
      <c r="J46" s="10"/>
      <c r="K46" s="10"/>
      <c r="L46" s="6"/>
      <c r="M46" s="39"/>
      <c r="N46" s="39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">
      <c r="A47" s="6"/>
      <c r="B47" s="6"/>
      <c r="C47" s="6"/>
      <c r="D47" s="6"/>
      <c r="E47" s="6"/>
      <c r="F47" s="6"/>
      <c r="G47" s="6"/>
      <c r="H47" s="10"/>
      <c r="I47" s="10"/>
      <c r="J47" s="10"/>
      <c r="K47" s="10"/>
      <c r="L47" s="6"/>
      <c r="M47" s="39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">
      <c r="A48" s="6"/>
      <c r="B48" s="6"/>
      <c r="C48" s="6"/>
      <c r="D48" s="6"/>
      <c r="E48" s="6"/>
      <c r="F48" s="6"/>
      <c r="G48" s="6"/>
      <c r="H48" s="10"/>
      <c r="I48" s="10"/>
      <c r="J48" s="10"/>
      <c r="K48" s="10"/>
      <c r="L48" s="6"/>
      <c r="M48" s="39"/>
      <c r="N48" s="39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8:25" x14ac:dyDescent="0.3">
      <c r="H49" s="10"/>
      <c r="I49" s="10"/>
      <c r="J49" s="10"/>
      <c r="K49" s="1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8:25" x14ac:dyDescent="0.3">
      <c r="H50" s="10"/>
      <c r="I50" s="10"/>
      <c r="J50" s="10"/>
      <c r="K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8:25" x14ac:dyDescent="0.3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8:25" x14ac:dyDescent="0.3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8:25" x14ac:dyDescent="0.3">
      <c r="H53" s="10"/>
      <c r="I53" s="10"/>
      <c r="J53" s="10"/>
      <c r="K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8:25" x14ac:dyDescent="0.3">
      <c r="H54" s="10"/>
      <c r="I54" s="10"/>
      <c r="J54" s="10"/>
      <c r="K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8:25" x14ac:dyDescent="0.3">
      <c r="H55" s="10"/>
      <c r="I55" s="10"/>
      <c r="J55" s="10"/>
      <c r="K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8:25" x14ac:dyDescent="0.3">
      <c r="H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8:25" x14ac:dyDescent="0.3">
      <c r="H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8:25" x14ac:dyDescent="0.3">
      <c r="H58" s="1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8:25" x14ac:dyDescent="0.3">
      <c r="H59" s="10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8:25" x14ac:dyDescent="0.3">
      <c r="H60" s="10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8:25" x14ac:dyDescent="0.3"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8:25" x14ac:dyDescent="0.3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8:25" x14ac:dyDescent="0.3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8:25" x14ac:dyDescent="0.3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3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3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3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3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3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3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3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3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3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3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3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3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3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3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3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3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3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3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3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3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3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3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3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3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3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3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3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3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3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3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3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3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3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3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3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3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3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3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3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3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3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3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3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3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3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3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3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3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3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3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3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3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3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3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3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3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3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3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3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3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3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3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3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3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3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3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3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3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3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3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3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3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3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3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3:25" x14ac:dyDescent="0.3"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3:25" x14ac:dyDescent="0.3"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3:25" x14ac:dyDescent="0.3"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</sheetData>
  <mergeCells count="4">
    <mergeCell ref="A1:K1"/>
    <mergeCell ref="A2:K2"/>
    <mergeCell ref="M12:O12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>
    <pageSetUpPr fitToPage="1"/>
  </sheetPr>
  <dimension ref="A1:AJ161"/>
  <sheetViews>
    <sheetView showGridLines="0" workbookViewId="0">
      <selection activeCell="Q22" sqref="Q22"/>
    </sheetView>
  </sheetViews>
  <sheetFormatPr defaultRowHeight="12.45" x14ac:dyDescent="0.3"/>
  <cols>
    <col min="1" max="1" width="12.69140625" customWidth="1"/>
    <col min="2" max="2" width="3.765625" customWidth="1"/>
    <col min="3" max="12" width="7.3046875" customWidth="1"/>
    <col min="13" max="13" width="4.3046875" style="79" customWidth="1"/>
    <col min="14" max="15" width="9.07421875" style="6" customWidth="1"/>
    <col min="16" max="16" width="9.07421875" style="249" customWidth="1"/>
    <col min="17" max="17" width="9.53515625" style="6" bestFit="1" customWidth="1"/>
    <col min="18" max="18" width="9.53515625" style="249" customWidth="1"/>
    <col min="19" max="19" width="12.69140625" customWidth="1"/>
    <col min="20" max="20" width="3.765625" customWidth="1"/>
    <col min="21" max="30" width="7.3046875" customWidth="1"/>
    <col min="31" max="31" width="4" customWidth="1"/>
  </cols>
  <sheetData>
    <row r="1" spans="1:36" s="225" customFormat="1" ht="30" customHeight="1" x14ac:dyDescent="0.45">
      <c r="A1" s="652" t="s">
        <v>114</v>
      </c>
      <c r="B1" s="653"/>
      <c r="C1" s="653"/>
      <c r="D1" s="653"/>
      <c r="E1" s="653"/>
      <c r="F1" s="653"/>
      <c r="G1" s="653"/>
      <c r="H1" s="653"/>
      <c r="I1" s="653"/>
      <c r="J1" s="653"/>
      <c r="K1" s="653"/>
      <c r="L1" s="653"/>
      <c r="M1" s="654"/>
      <c r="N1" s="654"/>
      <c r="O1" s="654"/>
      <c r="P1" s="654"/>
      <c r="Q1" s="654"/>
      <c r="R1" s="654"/>
      <c r="S1" s="654"/>
      <c r="T1" s="654"/>
      <c r="U1" s="654"/>
      <c r="V1" s="654"/>
      <c r="W1" s="654"/>
      <c r="X1" s="654"/>
      <c r="Y1" s="654"/>
      <c r="Z1" s="654"/>
      <c r="AA1" s="654"/>
      <c r="AB1" s="654"/>
      <c r="AC1" s="654"/>
      <c r="AD1" s="654"/>
    </row>
    <row r="2" spans="1:36" ht="24" customHeight="1" x14ac:dyDescent="0.3">
      <c r="A2" s="210"/>
      <c r="B2" s="210"/>
      <c r="C2" s="236"/>
      <c r="D2" s="237"/>
      <c r="E2" s="237"/>
      <c r="F2" s="237"/>
      <c r="G2" s="237"/>
      <c r="H2" s="657"/>
      <c r="I2" s="658"/>
      <c r="J2" s="658"/>
      <c r="K2" s="658"/>
      <c r="L2" s="658"/>
      <c r="M2" s="238"/>
      <c r="N2" s="655"/>
      <c r="O2" s="656"/>
      <c r="P2" s="656"/>
      <c r="Q2" s="618"/>
      <c r="R2" s="246"/>
    </row>
    <row r="3" spans="1:36" ht="25.1" customHeight="1" thickBot="1" x14ac:dyDescent="0.35">
      <c r="B3" s="7"/>
      <c r="C3" s="643" t="s">
        <v>108</v>
      </c>
      <c r="D3" s="643"/>
      <c r="E3" s="643"/>
      <c r="F3" s="643"/>
      <c r="G3" s="643"/>
      <c r="H3" s="643"/>
      <c r="I3" s="643"/>
      <c r="J3" s="643"/>
      <c r="K3" s="643"/>
      <c r="L3" s="643"/>
      <c r="M3" s="123"/>
      <c r="N3" s="35"/>
      <c r="O3" s="67"/>
      <c r="P3" s="67"/>
      <c r="Q3" s="67"/>
      <c r="R3" s="67"/>
      <c r="T3" s="7"/>
      <c r="U3" s="643" t="s">
        <v>110</v>
      </c>
      <c r="V3" s="643"/>
      <c r="W3" s="643"/>
      <c r="X3" s="643"/>
      <c r="Y3" s="643"/>
      <c r="Z3" s="643"/>
      <c r="AA3" s="643"/>
      <c r="AB3" s="643"/>
      <c r="AC3" s="643"/>
      <c r="AD3" s="643"/>
      <c r="AE3" s="123"/>
      <c r="AF3" s="6"/>
      <c r="AG3" s="6"/>
      <c r="AH3" s="249"/>
      <c r="AI3" s="6"/>
    </row>
    <row r="4" spans="1:36" ht="20.149999999999999" customHeight="1" thickBot="1" x14ac:dyDescent="0.35">
      <c r="A4" s="626" t="s">
        <v>10</v>
      </c>
      <c r="B4" s="626"/>
      <c r="C4" s="86" t="s">
        <v>105</v>
      </c>
      <c r="D4" s="125">
        <v>4</v>
      </c>
      <c r="E4" s="126">
        <v>6</v>
      </c>
      <c r="F4" s="126">
        <v>8</v>
      </c>
      <c r="G4" s="126">
        <v>10</v>
      </c>
      <c r="H4" s="126">
        <v>15</v>
      </c>
      <c r="I4" s="126">
        <v>20</v>
      </c>
      <c r="J4" s="126">
        <v>25</v>
      </c>
      <c r="K4" s="126">
        <v>30</v>
      </c>
      <c r="L4" s="127">
        <v>40</v>
      </c>
      <c r="M4" s="138"/>
      <c r="N4" s="614" t="s">
        <v>48</v>
      </c>
      <c r="O4" s="615"/>
      <c r="P4" s="615"/>
      <c r="Q4" s="615"/>
      <c r="R4" s="616"/>
      <c r="S4" s="626" t="s">
        <v>10</v>
      </c>
      <c r="T4" s="626"/>
      <c r="U4" s="86" t="s">
        <v>105</v>
      </c>
      <c r="V4" s="125">
        <v>4</v>
      </c>
      <c r="W4" s="126">
        <v>6</v>
      </c>
      <c r="X4" s="126">
        <v>8</v>
      </c>
      <c r="Y4" s="126">
        <v>10</v>
      </c>
      <c r="Z4" s="126">
        <v>15</v>
      </c>
      <c r="AA4" s="126">
        <v>20</v>
      </c>
      <c r="AB4" s="126">
        <v>25</v>
      </c>
      <c r="AC4" s="126">
        <v>30</v>
      </c>
      <c r="AD4" s="127">
        <v>40</v>
      </c>
      <c r="AE4" s="132"/>
      <c r="AF4" s="614" t="s">
        <v>50</v>
      </c>
      <c r="AG4" s="615"/>
      <c r="AH4" s="615"/>
      <c r="AI4" s="615"/>
      <c r="AJ4" s="616"/>
    </row>
    <row r="5" spans="1:36" ht="20.149999999999999" customHeight="1" thickBot="1" x14ac:dyDescent="0.35">
      <c r="A5" s="7"/>
      <c r="B5" s="90" t="s">
        <v>106</v>
      </c>
      <c r="C5" s="128">
        <v>4</v>
      </c>
      <c r="D5" s="142">
        <v>0.95</v>
      </c>
      <c r="E5" s="81">
        <v>0.96199999999999997</v>
      </c>
      <c r="F5" s="81">
        <v>0.96899999999999997</v>
      </c>
      <c r="G5" s="81">
        <v>0.97399999999999998</v>
      </c>
      <c r="H5" s="81">
        <v>0.98</v>
      </c>
      <c r="I5" s="81">
        <v>0.98299999999999998</v>
      </c>
      <c r="J5" s="81">
        <v>0.98599999999999999</v>
      </c>
      <c r="K5" s="81">
        <v>0.98699999999999999</v>
      </c>
      <c r="L5" s="82">
        <v>0.98899999999999999</v>
      </c>
      <c r="M5" s="133"/>
      <c r="N5" s="139" t="s">
        <v>112</v>
      </c>
      <c r="O5" s="242" t="s">
        <v>113</v>
      </c>
      <c r="P5" s="245" t="s">
        <v>47</v>
      </c>
      <c r="Q5" s="245" t="s">
        <v>44</v>
      </c>
      <c r="R5" s="245" t="s">
        <v>45</v>
      </c>
      <c r="S5" s="7"/>
      <c r="T5" s="90" t="s">
        <v>106</v>
      </c>
      <c r="U5" s="128">
        <v>4</v>
      </c>
      <c r="V5" s="142">
        <v>0.95899999999999996</v>
      </c>
      <c r="W5" s="81">
        <v>0.96899999999999997</v>
      </c>
      <c r="X5" s="81">
        <v>0.97399999999999998</v>
      </c>
      <c r="Y5" s="81">
        <v>0.97699999999999998</v>
      </c>
      <c r="Z5" s="81">
        <v>0.98299999999999998</v>
      </c>
      <c r="AA5" s="81">
        <v>0.98799999999999999</v>
      </c>
      <c r="AB5" s="81">
        <v>0.99099999999999999</v>
      </c>
      <c r="AC5" s="81">
        <v>0.99299999999999999</v>
      </c>
      <c r="AD5" s="82">
        <v>0.995</v>
      </c>
      <c r="AE5" s="133"/>
      <c r="AF5" s="139" t="s">
        <v>112</v>
      </c>
      <c r="AG5" s="242" t="s">
        <v>113</v>
      </c>
      <c r="AH5" s="245" t="s">
        <v>47</v>
      </c>
      <c r="AI5" s="245" t="s">
        <v>44</v>
      </c>
      <c r="AJ5" s="245" t="s">
        <v>45</v>
      </c>
    </row>
    <row r="6" spans="1:36" ht="20.149999999999999" customHeight="1" thickBot="1" x14ac:dyDescent="0.35">
      <c r="A6" s="6"/>
      <c r="B6" s="92"/>
      <c r="C6" s="129">
        <v>6</v>
      </c>
      <c r="D6" s="83">
        <v>0.95799999999999996</v>
      </c>
      <c r="E6" s="143">
        <v>0.97299999999999998</v>
      </c>
      <c r="F6" s="53">
        <v>0.98</v>
      </c>
      <c r="G6" s="53">
        <v>0.98699999999999999</v>
      </c>
      <c r="H6" s="53">
        <v>0.996</v>
      </c>
      <c r="I6" s="53">
        <v>1.0009999999999999</v>
      </c>
      <c r="J6" s="53">
        <v>1.004</v>
      </c>
      <c r="K6" s="53">
        <v>1.006</v>
      </c>
      <c r="L6" s="54">
        <v>1.006</v>
      </c>
      <c r="M6" s="133"/>
      <c r="N6" s="394">
        <v>5</v>
      </c>
      <c r="O6" s="469">
        <v>5</v>
      </c>
      <c r="P6" s="470">
        <f>IF(AND(N6&lt;=30,O6&lt;=30),Interpolate2DTable(N6,O6,'eq squares'!$A$2:$Z$27), 2*N6*O6/(N6+O6))</f>
        <v>5</v>
      </c>
      <c r="Q6" s="472">
        <f>Interpolate2DTable($N$6,$O$6,$C$4:$L$13)</f>
        <v>0.96074999999999999</v>
      </c>
      <c r="R6" s="472">
        <f>Interpolate1DRowTable(P6,$C$29:$L$30)</f>
        <v>0.98299999999999998</v>
      </c>
      <c r="S6" s="6"/>
      <c r="T6" s="92"/>
      <c r="U6" s="129">
        <v>6</v>
      </c>
      <c r="V6" s="83">
        <v>0.96499999999999997</v>
      </c>
      <c r="W6" s="143">
        <v>0.97699999999999998</v>
      </c>
      <c r="X6" s="53">
        <v>0.98499999999999999</v>
      </c>
      <c r="Y6" s="53">
        <v>0.99099999999999999</v>
      </c>
      <c r="Z6" s="53">
        <v>1</v>
      </c>
      <c r="AA6" s="53">
        <v>1.0049999999999999</v>
      </c>
      <c r="AB6" s="53">
        <v>1.008</v>
      </c>
      <c r="AC6" s="53">
        <v>1.0109999999999999</v>
      </c>
      <c r="AD6" s="54">
        <v>1.012</v>
      </c>
      <c r="AE6" s="133"/>
      <c r="AF6" s="394">
        <v>5</v>
      </c>
      <c r="AG6" s="469">
        <v>5</v>
      </c>
      <c r="AH6" s="470">
        <f>IF(AND(AF6&lt;=30,AG6&lt;=30),Interpolate2DTable(AF6,AG6,'eq squares'!$A$2:$Z$27), 2*AF6*AG6/(AF6+AG6))</f>
        <v>5</v>
      </c>
      <c r="AI6" s="472">
        <f>Interpolate2DTable($AF$6,$AG$6,$U$4:$AD$13)</f>
        <v>0.96750000000000003</v>
      </c>
      <c r="AJ6" s="472">
        <f>Interpolate1DRowTable(AH6,$C$29:$L$30)</f>
        <v>0.98299999999999998</v>
      </c>
    </row>
    <row r="7" spans="1:36" ht="20.149999999999999" customHeight="1" x14ac:dyDescent="0.3">
      <c r="A7" s="6"/>
      <c r="B7" s="92"/>
      <c r="C7" s="129">
        <v>8</v>
      </c>
      <c r="D7" s="83">
        <v>0.96199999999999997</v>
      </c>
      <c r="E7" s="53">
        <v>0.97699999999999998</v>
      </c>
      <c r="F7" s="143">
        <v>0.98799999999999999</v>
      </c>
      <c r="G7" s="53">
        <v>0.995</v>
      </c>
      <c r="H7" s="53">
        <v>1.0049999999999999</v>
      </c>
      <c r="I7" s="53">
        <v>1.01</v>
      </c>
      <c r="J7" s="53">
        <v>1.0129999999999999</v>
      </c>
      <c r="K7" s="53">
        <v>1.0149999999999999</v>
      </c>
      <c r="L7" s="54">
        <v>1.014</v>
      </c>
      <c r="M7" s="133"/>
      <c r="S7" s="6"/>
      <c r="T7" s="92"/>
      <c r="U7" s="129">
        <v>8</v>
      </c>
      <c r="V7" s="83">
        <v>0.96799999999999997</v>
      </c>
      <c r="W7" s="53">
        <v>0.98199999999999998</v>
      </c>
      <c r="X7" s="143">
        <v>0.99199999999999999</v>
      </c>
      <c r="Y7" s="53">
        <v>0.998</v>
      </c>
      <c r="Z7" s="53">
        <v>1.0049999999999999</v>
      </c>
      <c r="AA7" s="53">
        <v>1.012</v>
      </c>
      <c r="AB7" s="53">
        <v>1.0189999999999999</v>
      </c>
      <c r="AC7" s="53">
        <v>1.024</v>
      </c>
      <c r="AD7" s="54">
        <v>1.0269999999999999</v>
      </c>
      <c r="AE7" s="133"/>
      <c r="AF7" s="6"/>
      <c r="AG7" s="6"/>
      <c r="AH7" s="249"/>
      <c r="AI7" s="6"/>
    </row>
    <row r="8" spans="1:36" ht="20.149999999999999" customHeight="1" x14ac:dyDescent="0.3">
      <c r="A8" s="6"/>
      <c r="B8" s="92"/>
      <c r="C8" s="129">
        <v>10</v>
      </c>
      <c r="D8" s="83">
        <v>0.96499999999999997</v>
      </c>
      <c r="E8" s="53">
        <v>0.98</v>
      </c>
      <c r="F8" s="53">
        <v>0.99199999999999999</v>
      </c>
      <c r="G8" s="143">
        <v>1</v>
      </c>
      <c r="H8" s="53">
        <v>1.01</v>
      </c>
      <c r="I8" s="53">
        <v>1.014</v>
      </c>
      <c r="J8" s="53">
        <v>1.0189999999999999</v>
      </c>
      <c r="K8" s="53">
        <v>1.022</v>
      </c>
      <c r="L8" s="54">
        <v>1.0229999999999999</v>
      </c>
      <c r="M8" s="133"/>
      <c r="S8" s="6"/>
      <c r="T8" s="92"/>
      <c r="U8" s="129">
        <v>10</v>
      </c>
      <c r="V8" s="83">
        <v>0.96899999999999997</v>
      </c>
      <c r="W8" s="53">
        <v>0.98499999999999999</v>
      </c>
      <c r="X8" s="53">
        <v>0.995</v>
      </c>
      <c r="Y8" s="143">
        <v>1</v>
      </c>
      <c r="Z8" s="53">
        <v>1.012</v>
      </c>
      <c r="AA8" s="53">
        <v>1.022</v>
      </c>
      <c r="AB8" s="53">
        <v>1.0269999999999999</v>
      </c>
      <c r="AC8" s="53">
        <v>1.0309999999999999</v>
      </c>
      <c r="AD8" s="54">
        <v>1.0329999999999999</v>
      </c>
      <c r="AE8" s="133"/>
      <c r="AF8" s="6"/>
      <c r="AG8" s="6"/>
      <c r="AH8" s="249"/>
      <c r="AI8" s="6"/>
    </row>
    <row r="9" spans="1:36" ht="20.149999999999999" customHeight="1" x14ac:dyDescent="0.3">
      <c r="A9" s="6"/>
      <c r="B9" s="92"/>
      <c r="C9" s="129">
        <v>15</v>
      </c>
      <c r="D9" s="83">
        <v>0.96599999999999997</v>
      </c>
      <c r="E9" s="53">
        <v>0.98399999999999999</v>
      </c>
      <c r="F9" s="53">
        <v>0.997</v>
      </c>
      <c r="G9" s="53">
        <v>1.004</v>
      </c>
      <c r="H9" s="143">
        <v>1.016</v>
      </c>
      <c r="I9" s="53">
        <v>1.024</v>
      </c>
      <c r="J9" s="53">
        <v>1.03</v>
      </c>
      <c r="K9" s="53">
        <v>1.0329999999999999</v>
      </c>
      <c r="L9" s="54">
        <v>1.034</v>
      </c>
      <c r="M9" s="133"/>
      <c r="S9" s="6"/>
      <c r="T9" s="92"/>
      <c r="U9" s="129">
        <v>15</v>
      </c>
      <c r="V9" s="83">
        <v>0.97</v>
      </c>
      <c r="W9" s="53">
        <v>0.98899999999999999</v>
      </c>
      <c r="X9" s="53">
        <v>0.997</v>
      </c>
      <c r="Y9" s="53">
        <v>1.006</v>
      </c>
      <c r="Z9" s="143">
        <v>1.02</v>
      </c>
      <c r="AA9" s="53">
        <v>1.028</v>
      </c>
      <c r="AB9" s="53">
        <v>1.036</v>
      </c>
      <c r="AC9" s="53">
        <v>1.0409999999999999</v>
      </c>
      <c r="AD9" s="54">
        <v>1.046</v>
      </c>
      <c r="AE9" s="133"/>
      <c r="AF9" s="6"/>
      <c r="AG9" s="6"/>
      <c r="AH9" s="249"/>
      <c r="AI9" s="6"/>
    </row>
    <row r="10" spans="1:36" ht="20.149999999999999" customHeight="1" x14ac:dyDescent="0.3">
      <c r="A10" s="6"/>
      <c r="B10" s="92"/>
      <c r="C10" s="129">
        <v>20</v>
      </c>
      <c r="D10" s="83">
        <v>0.96599999999999997</v>
      </c>
      <c r="E10" s="53">
        <v>0.98599999999999999</v>
      </c>
      <c r="F10" s="53">
        <v>0.998</v>
      </c>
      <c r="G10" s="53">
        <v>1.0049999999999999</v>
      </c>
      <c r="H10" s="53">
        <v>1.0209999999999999</v>
      </c>
      <c r="I10" s="143">
        <v>1.028</v>
      </c>
      <c r="J10" s="53">
        <v>1.0329999999999999</v>
      </c>
      <c r="K10" s="53">
        <v>1.0389999999999999</v>
      </c>
      <c r="L10" s="54">
        <v>1.042</v>
      </c>
      <c r="M10" s="133"/>
      <c r="S10" s="6"/>
      <c r="T10" s="92"/>
      <c r="U10" s="129">
        <v>20</v>
      </c>
      <c r="V10" s="83">
        <v>0.97199999999999998</v>
      </c>
      <c r="W10" s="53">
        <v>0.99099999999999999</v>
      </c>
      <c r="X10" s="53">
        <v>1</v>
      </c>
      <c r="Y10" s="53">
        <v>1.012</v>
      </c>
      <c r="Z10" s="53">
        <v>1.024</v>
      </c>
      <c r="AA10" s="143">
        <v>1.0329999999999999</v>
      </c>
      <c r="AB10" s="53">
        <v>1.04</v>
      </c>
      <c r="AC10" s="53">
        <v>1.0449999999999999</v>
      </c>
      <c r="AD10" s="54">
        <v>1.052</v>
      </c>
      <c r="AE10" s="133"/>
      <c r="AF10" s="6"/>
      <c r="AG10" s="6"/>
      <c r="AH10" s="249"/>
      <c r="AI10" s="6"/>
    </row>
    <row r="11" spans="1:36" ht="20.149999999999999" customHeight="1" x14ac:dyDescent="0.3">
      <c r="A11" s="6"/>
      <c r="B11" s="92"/>
      <c r="C11" s="129">
        <v>25</v>
      </c>
      <c r="D11" s="83">
        <v>0.96599999999999997</v>
      </c>
      <c r="E11" s="53">
        <v>0.98699999999999999</v>
      </c>
      <c r="F11" s="53">
        <v>0.999</v>
      </c>
      <c r="G11" s="53">
        <v>1.0069999999999999</v>
      </c>
      <c r="H11" s="53">
        <v>1.0229999999999999</v>
      </c>
      <c r="I11" s="53">
        <v>1.03</v>
      </c>
      <c r="J11" s="143">
        <v>1.038</v>
      </c>
      <c r="K11" s="53">
        <v>1.0409999999999999</v>
      </c>
      <c r="L11" s="54">
        <v>1.0449999999999999</v>
      </c>
      <c r="M11" s="133"/>
      <c r="S11" s="6"/>
      <c r="T11" s="92"/>
      <c r="U11" s="129">
        <v>25</v>
      </c>
      <c r="V11" s="83">
        <v>0.97199999999999998</v>
      </c>
      <c r="W11" s="53">
        <v>0.99099999999999999</v>
      </c>
      <c r="X11" s="53">
        <v>1.004</v>
      </c>
      <c r="Y11" s="53">
        <v>1.014</v>
      </c>
      <c r="Z11" s="53">
        <v>1.028</v>
      </c>
      <c r="AA11" s="53">
        <v>1.0369999999999999</v>
      </c>
      <c r="AB11" s="143">
        <v>1.0409999999999999</v>
      </c>
      <c r="AC11" s="53">
        <v>1.0489999999999999</v>
      </c>
      <c r="AD11" s="54">
        <v>1.0569999999999999</v>
      </c>
      <c r="AE11" s="133"/>
      <c r="AF11" s="6"/>
      <c r="AG11" s="6"/>
      <c r="AH11" s="249"/>
      <c r="AI11" s="6"/>
    </row>
    <row r="12" spans="1:36" ht="20.149999999999999" customHeight="1" x14ac:dyDescent="0.3">
      <c r="A12" s="6"/>
      <c r="B12" s="92"/>
      <c r="C12" s="129">
        <v>30</v>
      </c>
      <c r="D12" s="83">
        <v>0.96699999999999997</v>
      </c>
      <c r="E12" s="53">
        <v>0.98799999999999999</v>
      </c>
      <c r="F12" s="53">
        <v>0.999</v>
      </c>
      <c r="G12" s="53">
        <v>1.0089999999999999</v>
      </c>
      <c r="H12" s="53">
        <v>1.0249999999999999</v>
      </c>
      <c r="I12" s="53">
        <v>1.034</v>
      </c>
      <c r="J12" s="53">
        <v>1.0389999999999999</v>
      </c>
      <c r="K12" s="143">
        <v>1.0429999999999999</v>
      </c>
      <c r="L12" s="54">
        <v>1.05</v>
      </c>
      <c r="M12" s="133"/>
      <c r="S12" s="6"/>
      <c r="T12" s="92"/>
      <c r="U12" s="129">
        <v>30</v>
      </c>
      <c r="V12" s="83">
        <v>0.97299999999999998</v>
      </c>
      <c r="W12" s="53">
        <v>0.99199999999999999</v>
      </c>
      <c r="X12" s="53">
        <v>1.0069999999999999</v>
      </c>
      <c r="Y12" s="53">
        <v>1.016</v>
      </c>
      <c r="Z12" s="53">
        <v>1.0309999999999999</v>
      </c>
      <c r="AA12" s="53">
        <v>1.038</v>
      </c>
      <c r="AB12" s="53">
        <v>1.046</v>
      </c>
      <c r="AC12" s="143">
        <v>1.052</v>
      </c>
      <c r="AD12" s="54">
        <v>1.0580000000000001</v>
      </c>
      <c r="AE12" s="133"/>
      <c r="AF12" s="6"/>
      <c r="AG12" s="6"/>
      <c r="AH12" s="249"/>
      <c r="AI12" s="6"/>
    </row>
    <row r="13" spans="1:36" ht="20.149999999999999" customHeight="1" thickBot="1" x14ac:dyDescent="0.35">
      <c r="A13" s="6"/>
      <c r="B13" s="94"/>
      <c r="C13" s="130">
        <v>40</v>
      </c>
      <c r="D13" s="84">
        <v>0.96699999999999997</v>
      </c>
      <c r="E13" s="55">
        <v>0.98599999999999999</v>
      </c>
      <c r="F13" s="55">
        <v>0.995</v>
      </c>
      <c r="G13" s="55">
        <v>1.0069999999999999</v>
      </c>
      <c r="H13" s="55">
        <v>1.022</v>
      </c>
      <c r="I13" s="55">
        <v>1.034</v>
      </c>
      <c r="J13" s="55">
        <v>1.04</v>
      </c>
      <c r="K13" s="55">
        <v>1.0469999999999999</v>
      </c>
      <c r="L13" s="144">
        <v>1.056</v>
      </c>
      <c r="M13" s="133"/>
      <c r="S13" s="6"/>
      <c r="T13" s="94"/>
      <c r="U13" s="130">
        <v>40</v>
      </c>
      <c r="V13" s="84">
        <v>0.97299999999999998</v>
      </c>
      <c r="W13" s="55">
        <v>0.99</v>
      </c>
      <c r="X13" s="55">
        <v>1.0069999999999999</v>
      </c>
      <c r="Y13" s="55">
        <v>1.014</v>
      </c>
      <c r="Z13" s="55">
        <v>1.0309999999999999</v>
      </c>
      <c r="AA13" s="55">
        <v>1.0409999999999999</v>
      </c>
      <c r="AB13" s="55">
        <v>1.0489999999999999</v>
      </c>
      <c r="AC13" s="55">
        <v>1.054</v>
      </c>
      <c r="AD13" s="144">
        <v>1.0620000000000001</v>
      </c>
      <c r="AE13" s="133"/>
      <c r="AF13" s="6"/>
      <c r="AG13" s="6"/>
      <c r="AH13" s="249"/>
      <c r="AI13" s="6"/>
    </row>
    <row r="14" spans="1:36" ht="11.25" customHeight="1" x14ac:dyDescent="0.3">
      <c r="A14" s="6"/>
      <c r="B14" s="6"/>
      <c r="C14" s="40"/>
      <c r="D14" s="44"/>
      <c r="E14" s="44"/>
      <c r="F14" s="44"/>
      <c r="G14" s="44"/>
      <c r="H14" s="44"/>
      <c r="I14" s="44"/>
      <c r="J14" s="44"/>
      <c r="K14" s="35"/>
      <c r="L14" s="45"/>
      <c r="M14" s="137"/>
      <c r="AE14" s="79"/>
      <c r="AF14" s="6"/>
      <c r="AG14" s="6"/>
      <c r="AH14" s="249"/>
      <c r="AI14" s="6"/>
    </row>
    <row r="15" spans="1:36" ht="25.1" customHeight="1" thickBot="1" x14ac:dyDescent="0.35">
      <c r="B15" s="7"/>
      <c r="C15" s="643" t="s">
        <v>109</v>
      </c>
      <c r="D15" s="643"/>
      <c r="E15" s="643"/>
      <c r="F15" s="643"/>
      <c r="G15" s="643"/>
      <c r="H15" s="643"/>
      <c r="I15" s="643"/>
      <c r="J15" s="643"/>
      <c r="K15" s="643"/>
      <c r="L15" s="643"/>
      <c r="M15" s="123"/>
      <c r="N15" s="1"/>
      <c r="O15" s="123"/>
      <c r="P15" s="248"/>
      <c r="Q15" s="123"/>
      <c r="R15" s="248"/>
      <c r="T15" s="7"/>
      <c r="U15" s="643" t="s">
        <v>111</v>
      </c>
      <c r="V15" s="643"/>
      <c r="W15" s="643"/>
      <c r="X15" s="643"/>
      <c r="Y15" s="643"/>
      <c r="Z15" s="643"/>
      <c r="AA15" s="643"/>
      <c r="AB15" s="643"/>
      <c r="AC15" s="643"/>
      <c r="AD15" s="643"/>
      <c r="AE15" s="123"/>
      <c r="AF15" s="6"/>
      <c r="AG15" s="6"/>
      <c r="AH15" s="249"/>
      <c r="AI15" s="6"/>
    </row>
    <row r="16" spans="1:36" ht="20.149999999999999" customHeight="1" thickBot="1" x14ac:dyDescent="0.35">
      <c r="A16" s="626" t="s">
        <v>10</v>
      </c>
      <c r="B16" s="626"/>
      <c r="C16" s="86" t="s">
        <v>105</v>
      </c>
      <c r="D16" s="250">
        <v>4</v>
      </c>
      <c r="E16" s="126">
        <v>6</v>
      </c>
      <c r="F16" s="126">
        <v>8</v>
      </c>
      <c r="G16" s="126">
        <v>10</v>
      </c>
      <c r="H16" s="126">
        <v>15</v>
      </c>
      <c r="I16" s="126">
        <v>20</v>
      </c>
      <c r="J16" s="126">
        <v>25</v>
      </c>
      <c r="K16" s="126">
        <v>30</v>
      </c>
      <c r="L16" s="136">
        <v>40</v>
      </c>
      <c r="M16" s="132"/>
      <c r="N16" s="614" t="s">
        <v>49</v>
      </c>
      <c r="O16" s="615"/>
      <c r="P16" s="615"/>
      <c r="Q16" s="615"/>
      <c r="R16" s="616"/>
      <c r="S16" s="626" t="s">
        <v>10</v>
      </c>
      <c r="T16" s="626"/>
      <c r="U16" s="86" t="s">
        <v>105</v>
      </c>
      <c r="V16" s="125">
        <v>4</v>
      </c>
      <c r="W16" s="126">
        <v>6</v>
      </c>
      <c r="X16" s="126">
        <v>8</v>
      </c>
      <c r="Y16" s="126">
        <v>10</v>
      </c>
      <c r="Z16" s="126">
        <v>15</v>
      </c>
      <c r="AA16" s="126">
        <v>20</v>
      </c>
      <c r="AB16" s="126">
        <v>25</v>
      </c>
      <c r="AC16" s="126">
        <v>30</v>
      </c>
      <c r="AD16" s="127">
        <v>40</v>
      </c>
      <c r="AE16" s="132"/>
      <c r="AF16" s="614" t="s">
        <v>51</v>
      </c>
      <c r="AG16" s="615"/>
      <c r="AH16" s="615"/>
      <c r="AI16" s="615"/>
      <c r="AJ16" s="616"/>
    </row>
    <row r="17" spans="1:36" ht="20.149999999999999" customHeight="1" thickBot="1" x14ac:dyDescent="0.35">
      <c r="A17" s="7"/>
      <c r="B17" s="90" t="s">
        <v>106</v>
      </c>
      <c r="C17" s="128">
        <v>4</v>
      </c>
      <c r="D17" s="142">
        <v>0.93899999999999995</v>
      </c>
      <c r="E17" s="81">
        <v>0.95599999999999996</v>
      </c>
      <c r="F17" s="81">
        <v>0.96299999999999997</v>
      </c>
      <c r="G17" s="81">
        <v>0.96799999999999997</v>
      </c>
      <c r="H17" s="81">
        <v>0.97599999999999998</v>
      </c>
      <c r="I17" s="81">
        <v>0.98099999999999998</v>
      </c>
      <c r="J17" s="81">
        <v>0.98499999999999999</v>
      </c>
      <c r="K17" s="81">
        <v>0.98799999999999999</v>
      </c>
      <c r="L17" s="82">
        <v>0.99099999999999999</v>
      </c>
      <c r="M17" s="133"/>
      <c r="N17" s="139" t="s">
        <v>112</v>
      </c>
      <c r="O17" s="242" t="s">
        <v>113</v>
      </c>
      <c r="P17" s="245" t="s">
        <v>47</v>
      </c>
      <c r="Q17" s="245" t="s">
        <v>44</v>
      </c>
      <c r="R17" s="245" t="s">
        <v>45</v>
      </c>
      <c r="S17" s="7"/>
      <c r="T17" s="90" t="s">
        <v>106</v>
      </c>
      <c r="U17" s="128">
        <v>4</v>
      </c>
      <c r="V17" s="142">
        <v>0.91900000000000004</v>
      </c>
      <c r="W17" s="81">
        <v>0.93799999999999994</v>
      </c>
      <c r="X17" s="81">
        <v>0.94799999999999995</v>
      </c>
      <c r="Y17" s="81">
        <v>0.95299999999999996</v>
      </c>
      <c r="Z17" s="81">
        <v>0.96199999999999997</v>
      </c>
      <c r="AA17" s="81">
        <v>0.96699999999999997</v>
      </c>
      <c r="AB17" s="81">
        <v>0.97</v>
      </c>
      <c r="AC17" s="81">
        <v>0.97299999999999998</v>
      </c>
      <c r="AD17" s="82">
        <v>0.97399999999999998</v>
      </c>
      <c r="AE17" s="133"/>
      <c r="AF17" s="139" t="s">
        <v>112</v>
      </c>
      <c r="AG17" s="242" t="s">
        <v>113</v>
      </c>
      <c r="AH17" s="245" t="s">
        <v>47</v>
      </c>
      <c r="AI17" s="245" t="s">
        <v>44</v>
      </c>
      <c r="AJ17" s="245" t="s">
        <v>45</v>
      </c>
    </row>
    <row r="18" spans="1:36" ht="20.149999999999999" customHeight="1" thickBot="1" x14ac:dyDescent="0.35">
      <c r="A18" s="6"/>
      <c r="B18" s="92"/>
      <c r="C18" s="129">
        <v>6</v>
      </c>
      <c r="D18" s="83">
        <v>0.95299999999999996</v>
      </c>
      <c r="E18" s="143">
        <v>0.96899999999999997</v>
      </c>
      <c r="F18" s="53">
        <v>0.98</v>
      </c>
      <c r="G18" s="53">
        <v>0.98699999999999999</v>
      </c>
      <c r="H18" s="53">
        <v>0.997</v>
      </c>
      <c r="I18" s="53">
        <v>1.0029999999999999</v>
      </c>
      <c r="J18" s="53">
        <v>1.0069999999999999</v>
      </c>
      <c r="K18" s="53">
        <v>1.0089999999999999</v>
      </c>
      <c r="L18" s="54">
        <v>1.01</v>
      </c>
      <c r="M18" s="133"/>
      <c r="N18" s="394">
        <v>5</v>
      </c>
      <c r="O18" s="469">
        <v>5</v>
      </c>
      <c r="P18" s="470">
        <f>IF(AND(N18&lt;=30,O18&lt;=30),Interpolate2DTable(N18,O18,'eq squares'!$A$2:$Z$27), 2*N18*O18/(N18+O18))</f>
        <v>5</v>
      </c>
      <c r="Q18" s="472">
        <f>Interpolate2DTable($N$18,$O$18,$C$16:$L$25)</f>
        <v>0.95424999999999993</v>
      </c>
      <c r="R18" s="472">
        <f>Interpolate1DRowTable(P18,$C$29:$L$30)</f>
        <v>0.98299999999999998</v>
      </c>
      <c r="S18" s="6"/>
      <c r="T18" s="92"/>
      <c r="U18" s="129">
        <v>6</v>
      </c>
      <c r="V18" s="83">
        <v>0.93500000000000005</v>
      </c>
      <c r="W18" s="143">
        <v>0.95699999999999996</v>
      </c>
      <c r="X18" s="53">
        <v>0.96899999999999997</v>
      </c>
      <c r="Y18" s="53">
        <v>0.97699999999999998</v>
      </c>
      <c r="Z18" s="53">
        <v>0.99</v>
      </c>
      <c r="AA18" s="53">
        <v>0.997</v>
      </c>
      <c r="AB18" s="53">
        <v>1.002</v>
      </c>
      <c r="AC18" s="53">
        <v>1.0049999999999999</v>
      </c>
      <c r="AD18" s="54">
        <v>1.0069999999999999</v>
      </c>
      <c r="AE18" s="133"/>
      <c r="AF18" s="394">
        <v>5</v>
      </c>
      <c r="AG18" s="469">
        <v>5</v>
      </c>
      <c r="AH18" s="470">
        <f>IF(AND(AF18&lt;=30,AG18&lt;=30),Interpolate2DTable(AF18,AG18,'eq squares'!$A$2:$Z$27), 2*AF18*AG18/(AF18+AG18))</f>
        <v>5</v>
      </c>
      <c r="AI18" s="472">
        <f>Interpolate2DTable($AF$18,$AG$18,$U$16:$AD$25)</f>
        <v>0.93725000000000003</v>
      </c>
      <c r="AJ18" s="472">
        <f>Interpolate1DRowTable(AH18,$C$29:$L$30)</f>
        <v>0.98299999999999998</v>
      </c>
    </row>
    <row r="19" spans="1:36" ht="20.149999999999999" customHeight="1" x14ac:dyDescent="0.3">
      <c r="A19" s="6"/>
      <c r="B19" s="92"/>
      <c r="C19" s="129">
        <v>8</v>
      </c>
      <c r="D19" s="83">
        <v>0.95799999999999996</v>
      </c>
      <c r="E19" s="53">
        <v>0.97699999999999998</v>
      </c>
      <c r="F19" s="143">
        <v>0.98899999999999999</v>
      </c>
      <c r="G19" s="53">
        <v>0.997</v>
      </c>
      <c r="H19" s="53">
        <v>1.006</v>
      </c>
      <c r="I19" s="53">
        <v>1.012</v>
      </c>
      <c r="J19" s="53">
        <v>1.0149999999999999</v>
      </c>
      <c r="K19" s="53">
        <v>1.018</v>
      </c>
      <c r="L19" s="54">
        <v>1.0189999999999999</v>
      </c>
      <c r="M19" s="133"/>
      <c r="N19" s="39"/>
      <c r="O19" s="131"/>
      <c r="P19" s="131"/>
      <c r="Q19" s="132"/>
      <c r="R19" s="132"/>
      <c r="S19" s="6"/>
      <c r="T19" s="92"/>
      <c r="U19" s="129">
        <v>8</v>
      </c>
      <c r="V19" s="83">
        <v>0.94199999999999995</v>
      </c>
      <c r="W19" s="53">
        <v>0.96499999999999997</v>
      </c>
      <c r="X19" s="143">
        <v>0.98099999999999998</v>
      </c>
      <c r="Y19" s="53">
        <v>0.99099999999999999</v>
      </c>
      <c r="Z19" s="53">
        <v>1.008</v>
      </c>
      <c r="AA19" s="53">
        <v>1.02</v>
      </c>
      <c r="AB19" s="53">
        <v>1.0229999999999999</v>
      </c>
      <c r="AC19" s="53">
        <v>1.026</v>
      </c>
      <c r="AD19" s="54">
        <v>1.026</v>
      </c>
      <c r="AE19" s="133"/>
      <c r="AF19" s="6"/>
      <c r="AG19" s="6"/>
      <c r="AH19" s="249"/>
      <c r="AI19" s="6"/>
    </row>
    <row r="20" spans="1:36" ht="20.149999999999999" customHeight="1" x14ac:dyDescent="0.3">
      <c r="A20" s="6"/>
      <c r="B20" s="92"/>
      <c r="C20" s="129">
        <v>10</v>
      </c>
      <c r="D20" s="83">
        <v>0.96</v>
      </c>
      <c r="E20" s="53">
        <v>0.98099999999999998</v>
      </c>
      <c r="F20" s="53">
        <v>0.99399999999999999</v>
      </c>
      <c r="G20" s="143">
        <v>1</v>
      </c>
      <c r="H20" s="53">
        <v>1.01</v>
      </c>
      <c r="I20" s="53">
        <v>1.016</v>
      </c>
      <c r="J20" s="53">
        <v>1.0229999999999999</v>
      </c>
      <c r="K20" s="53">
        <v>1.028</v>
      </c>
      <c r="L20" s="54">
        <v>1.03</v>
      </c>
      <c r="M20" s="133"/>
      <c r="N20" s="39"/>
      <c r="O20" s="131"/>
      <c r="P20" s="131"/>
      <c r="Q20" s="132"/>
      <c r="R20" s="132"/>
      <c r="S20" s="6"/>
      <c r="T20" s="92"/>
      <c r="U20" s="129">
        <v>10</v>
      </c>
      <c r="V20" s="83">
        <v>0.94299999999999995</v>
      </c>
      <c r="W20" s="53">
        <v>0.96899999999999997</v>
      </c>
      <c r="X20" s="53">
        <v>0.98699999999999999</v>
      </c>
      <c r="Y20" s="143">
        <v>1</v>
      </c>
      <c r="Z20" s="53">
        <v>1.0169999999999999</v>
      </c>
      <c r="AA20" s="53">
        <v>1.024</v>
      </c>
      <c r="AB20" s="53">
        <v>1.032</v>
      </c>
      <c r="AC20" s="53">
        <v>1.036</v>
      </c>
      <c r="AD20" s="54">
        <v>1.038</v>
      </c>
      <c r="AE20" s="133"/>
      <c r="AF20" s="6"/>
      <c r="AG20" s="6"/>
      <c r="AH20" s="249"/>
      <c r="AI20" s="6"/>
    </row>
    <row r="21" spans="1:36" ht="20.149999999999999" customHeight="1" x14ac:dyDescent="0.3">
      <c r="A21" s="6"/>
      <c r="B21" s="92"/>
      <c r="C21" s="129">
        <v>15</v>
      </c>
      <c r="D21" s="83">
        <v>0.96199999999999997</v>
      </c>
      <c r="E21" s="53">
        <v>0.98499999999999999</v>
      </c>
      <c r="F21" s="53">
        <v>0.997</v>
      </c>
      <c r="G21" s="53">
        <v>1.004</v>
      </c>
      <c r="H21" s="143">
        <v>1.018</v>
      </c>
      <c r="I21" s="53">
        <v>1.0269999999999999</v>
      </c>
      <c r="J21" s="53">
        <v>1.0309999999999999</v>
      </c>
      <c r="K21" s="53">
        <v>1.0349999999999999</v>
      </c>
      <c r="L21" s="54">
        <v>1.038</v>
      </c>
      <c r="M21" s="133"/>
      <c r="N21" s="39"/>
      <c r="O21" s="131"/>
      <c r="P21" s="131"/>
      <c r="Q21" s="132"/>
      <c r="R21" s="132"/>
      <c r="S21" s="6"/>
      <c r="T21" s="92"/>
      <c r="U21" s="129">
        <v>15</v>
      </c>
      <c r="V21" s="83">
        <v>0.94499999999999995</v>
      </c>
      <c r="W21" s="53">
        <v>0.97499999999999998</v>
      </c>
      <c r="X21" s="53">
        <v>0.997</v>
      </c>
      <c r="Y21" s="53">
        <v>1.01</v>
      </c>
      <c r="Z21" s="143">
        <v>1.0289999999999999</v>
      </c>
      <c r="AA21" s="53">
        <v>1.042</v>
      </c>
      <c r="AB21" s="53">
        <v>1.0469999999999999</v>
      </c>
      <c r="AC21" s="53">
        <v>1.0509999999999999</v>
      </c>
      <c r="AD21" s="54">
        <v>1.054</v>
      </c>
      <c r="AE21" s="133"/>
      <c r="AF21" s="6"/>
      <c r="AG21" s="6"/>
      <c r="AH21" s="249"/>
      <c r="AI21" s="6"/>
    </row>
    <row r="22" spans="1:36" ht="20.149999999999999" customHeight="1" x14ac:dyDescent="0.3">
      <c r="A22" s="6"/>
      <c r="B22" s="92"/>
      <c r="C22" s="129">
        <v>20</v>
      </c>
      <c r="D22" s="83">
        <v>0.96299999999999997</v>
      </c>
      <c r="E22" s="53">
        <v>0.98699999999999999</v>
      </c>
      <c r="F22" s="53">
        <v>0.998</v>
      </c>
      <c r="G22" s="53">
        <v>1.0049999999999999</v>
      </c>
      <c r="H22" s="53">
        <v>1.022</v>
      </c>
      <c r="I22" s="143">
        <v>1.0269999999999999</v>
      </c>
      <c r="J22" s="53">
        <v>1.034</v>
      </c>
      <c r="K22" s="53">
        <v>1.04</v>
      </c>
      <c r="L22" s="54">
        <v>1.0449999999999999</v>
      </c>
      <c r="M22" s="133"/>
      <c r="N22" s="39"/>
      <c r="O22" s="131"/>
      <c r="P22" s="131"/>
      <c r="Q22" s="132"/>
      <c r="R22" s="132"/>
      <c r="S22" s="6"/>
      <c r="T22" s="92"/>
      <c r="U22" s="129">
        <v>20</v>
      </c>
      <c r="V22" s="83">
        <v>0.94599999999999995</v>
      </c>
      <c r="W22" s="53">
        <v>0.97799999999999998</v>
      </c>
      <c r="X22" s="53">
        <v>1.004</v>
      </c>
      <c r="Y22" s="53">
        <v>1.0109999999999999</v>
      </c>
      <c r="Z22" s="53">
        <v>1.0369999999999999</v>
      </c>
      <c r="AA22" s="143">
        <v>1.0429999999999999</v>
      </c>
      <c r="AB22" s="53">
        <v>1.05</v>
      </c>
      <c r="AC22" s="53">
        <v>1.0529999999999999</v>
      </c>
      <c r="AD22" s="54">
        <v>1.0580000000000001</v>
      </c>
      <c r="AE22" s="133"/>
      <c r="AF22" s="6"/>
      <c r="AG22" s="6"/>
      <c r="AH22" s="249"/>
      <c r="AI22" s="6"/>
    </row>
    <row r="23" spans="1:36" ht="20.149999999999999" customHeight="1" x14ac:dyDescent="0.3">
      <c r="A23" s="6"/>
      <c r="B23" s="92"/>
      <c r="C23" s="129">
        <v>25</v>
      </c>
      <c r="D23" s="83">
        <v>0.96399999999999997</v>
      </c>
      <c r="E23" s="53">
        <v>0.98699999999999999</v>
      </c>
      <c r="F23" s="53">
        <v>0.998</v>
      </c>
      <c r="G23" s="53">
        <v>1.008</v>
      </c>
      <c r="H23" s="53">
        <v>1.0229999999999999</v>
      </c>
      <c r="I23" s="53">
        <v>1.03</v>
      </c>
      <c r="J23" s="143">
        <v>1.0369999999999999</v>
      </c>
      <c r="K23" s="53">
        <v>1.042</v>
      </c>
      <c r="L23" s="54">
        <v>1.05</v>
      </c>
      <c r="M23" s="133"/>
      <c r="N23" s="39"/>
      <c r="O23" s="131"/>
      <c r="P23" s="131"/>
      <c r="Q23" s="132"/>
      <c r="R23" s="132"/>
      <c r="S23" s="6"/>
      <c r="T23" s="92"/>
      <c r="U23" s="129">
        <v>25</v>
      </c>
      <c r="V23" s="83">
        <v>0.94599999999999995</v>
      </c>
      <c r="W23" s="53">
        <v>0.98</v>
      </c>
      <c r="X23" s="53">
        <v>1.0029999999999999</v>
      </c>
      <c r="Y23" s="53">
        <v>1.0149999999999999</v>
      </c>
      <c r="Z23" s="53">
        <v>1.0369999999999999</v>
      </c>
      <c r="AA23" s="53">
        <v>1.046</v>
      </c>
      <c r="AB23" s="143">
        <v>1.0489999999999999</v>
      </c>
      <c r="AC23" s="53">
        <v>1.0549999999999999</v>
      </c>
      <c r="AD23" s="54">
        <v>1.0629999999999999</v>
      </c>
      <c r="AE23" s="133"/>
      <c r="AF23" s="6"/>
      <c r="AG23" s="6"/>
      <c r="AH23" s="249"/>
      <c r="AI23" s="6"/>
    </row>
    <row r="24" spans="1:36" ht="20.149999999999999" customHeight="1" x14ac:dyDescent="0.3">
      <c r="A24" s="6"/>
      <c r="B24" s="92"/>
      <c r="C24" s="129">
        <v>30</v>
      </c>
      <c r="D24" s="83">
        <v>0.96399999999999997</v>
      </c>
      <c r="E24" s="53">
        <v>0.98699999999999999</v>
      </c>
      <c r="F24" s="53">
        <v>0.998</v>
      </c>
      <c r="G24" s="53">
        <v>1.01</v>
      </c>
      <c r="H24" s="53">
        <v>1.0229999999999999</v>
      </c>
      <c r="I24" s="53">
        <v>1.0329999999999999</v>
      </c>
      <c r="J24" s="53">
        <v>1.0389999999999999</v>
      </c>
      <c r="K24" s="143">
        <v>1.044</v>
      </c>
      <c r="L24" s="54">
        <v>1.0529999999999999</v>
      </c>
      <c r="M24" s="133"/>
      <c r="N24" s="39"/>
      <c r="O24" s="131"/>
      <c r="P24" s="131"/>
      <c r="Q24" s="132"/>
      <c r="R24" s="132"/>
      <c r="S24" s="6"/>
      <c r="T24" s="92"/>
      <c r="U24" s="129">
        <v>30</v>
      </c>
      <c r="V24" s="83">
        <v>0.94599999999999995</v>
      </c>
      <c r="W24" s="53">
        <v>0.98099999999999998</v>
      </c>
      <c r="X24" s="53">
        <v>1.004</v>
      </c>
      <c r="Y24" s="53">
        <v>1.0169999999999999</v>
      </c>
      <c r="Z24" s="53">
        <v>1.0389999999999999</v>
      </c>
      <c r="AA24" s="53">
        <v>1.046</v>
      </c>
      <c r="AB24" s="53">
        <v>1.052</v>
      </c>
      <c r="AC24" s="143">
        <v>1.0580000000000001</v>
      </c>
      <c r="AD24" s="54">
        <v>1.0640000000000001</v>
      </c>
      <c r="AE24" s="133"/>
      <c r="AF24" s="6"/>
      <c r="AG24" s="6"/>
      <c r="AH24" s="249"/>
      <c r="AI24" s="6"/>
    </row>
    <row r="25" spans="1:36" ht="20.149999999999999" customHeight="1" thickBot="1" x14ac:dyDescent="0.35">
      <c r="A25" s="6"/>
      <c r="B25" s="94"/>
      <c r="C25" s="130">
        <v>40</v>
      </c>
      <c r="D25" s="84">
        <v>0.96399999999999997</v>
      </c>
      <c r="E25" s="55">
        <v>0.98399999999999999</v>
      </c>
      <c r="F25" s="55">
        <v>0.996</v>
      </c>
      <c r="G25" s="55">
        <v>1.0089999999999999</v>
      </c>
      <c r="H25" s="55">
        <v>1.022</v>
      </c>
      <c r="I25" s="55">
        <v>1.034</v>
      </c>
      <c r="J25" s="55">
        <v>1.042</v>
      </c>
      <c r="K25" s="55">
        <v>1.0489999999999999</v>
      </c>
      <c r="L25" s="144">
        <v>1.056</v>
      </c>
      <c r="M25" s="133"/>
      <c r="N25" s="39"/>
      <c r="O25" s="131"/>
      <c r="P25" s="131"/>
      <c r="Q25" s="132"/>
      <c r="R25" s="132"/>
      <c r="S25" s="6"/>
      <c r="T25" s="94"/>
      <c r="U25" s="130">
        <v>40</v>
      </c>
      <c r="V25" s="84">
        <v>0.94599999999999995</v>
      </c>
      <c r="W25" s="55">
        <v>0.97899999999999998</v>
      </c>
      <c r="X25" s="55">
        <v>1.0009999999999999</v>
      </c>
      <c r="Y25" s="55">
        <v>1.0149999999999999</v>
      </c>
      <c r="Z25" s="55">
        <v>1.0369999999999999</v>
      </c>
      <c r="AA25" s="55">
        <v>1.046</v>
      </c>
      <c r="AB25" s="55">
        <v>1.054</v>
      </c>
      <c r="AC25" s="55">
        <v>1.0589999999999999</v>
      </c>
      <c r="AD25" s="144">
        <v>1.0669999999999999</v>
      </c>
      <c r="AE25" s="133"/>
      <c r="AF25" s="6"/>
      <c r="AG25" s="6"/>
      <c r="AH25" s="249"/>
      <c r="AI25" s="6"/>
    </row>
    <row r="26" spans="1:36" ht="27.65" customHeight="1" thickBot="1" x14ac:dyDescent="0.35">
      <c r="C26" s="6"/>
      <c r="D26" s="6"/>
      <c r="E26" s="6"/>
      <c r="F26" s="6"/>
      <c r="G26" s="6"/>
      <c r="H26" s="6"/>
      <c r="I26" s="6"/>
      <c r="J26" s="6"/>
      <c r="K26" s="6"/>
      <c r="N26" s="39"/>
      <c r="O26" s="39"/>
      <c r="P26" s="247"/>
      <c r="Q26" s="39"/>
      <c r="R26" s="247"/>
      <c r="S26" s="1"/>
      <c r="T26" s="1"/>
      <c r="U26" s="1"/>
      <c r="V26" s="1"/>
      <c r="W26" s="1"/>
      <c r="X26" s="1"/>
      <c r="Y26" s="1"/>
      <c r="Z26" s="1"/>
      <c r="AA26" s="1"/>
    </row>
    <row r="27" spans="1:36" ht="25.2" customHeight="1" x14ac:dyDescent="0.55000000000000004">
      <c r="A27" s="665" t="s">
        <v>107</v>
      </c>
      <c r="B27" s="665"/>
      <c r="C27" s="665"/>
      <c r="D27" s="665"/>
      <c r="E27" s="665"/>
      <c r="F27" s="665"/>
      <c r="G27" s="665"/>
      <c r="H27" s="665"/>
      <c r="I27" s="665"/>
      <c r="J27" s="665"/>
      <c r="K27" s="665"/>
      <c r="L27" s="665"/>
      <c r="N27" s="659" t="s">
        <v>52</v>
      </c>
      <c r="O27" s="660"/>
    </row>
    <row r="28" spans="1:36" ht="7.85" customHeight="1" thickBot="1" x14ac:dyDescent="0.35">
      <c r="N28" s="661"/>
      <c r="O28" s="662"/>
      <c r="Q28" s="249"/>
    </row>
    <row r="29" spans="1:36" ht="20.149999999999999" customHeight="1" thickBot="1" x14ac:dyDescent="0.35">
      <c r="A29" s="650" t="s">
        <v>37</v>
      </c>
      <c r="B29" s="651"/>
      <c r="C29" s="252">
        <v>4</v>
      </c>
      <c r="D29" s="253">
        <v>6</v>
      </c>
      <c r="E29" s="253">
        <v>8</v>
      </c>
      <c r="F29" s="253">
        <v>10</v>
      </c>
      <c r="G29" s="253">
        <v>15</v>
      </c>
      <c r="H29" s="253">
        <v>20</v>
      </c>
      <c r="I29" s="253">
        <v>25</v>
      </c>
      <c r="J29" s="253">
        <v>30</v>
      </c>
      <c r="K29" s="253">
        <v>35</v>
      </c>
      <c r="L29" s="254">
        <v>40</v>
      </c>
      <c r="N29" s="251" t="s">
        <v>47</v>
      </c>
      <c r="O29" s="245" t="s">
        <v>45</v>
      </c>
      <c r="P29" s="255"/>
    </row>
    <row r="30" spans="1:36" ht="20.149999999999999" customHeight="1" thickBot="1" x14ac:dyDescent="0.35">
      <c r="A30" s="663" t="s">
        <v>46</v>
      </c>
      <c r="B30" s="664"/>
      <c r="C30" s="355">
        <v>0.97899999999999998</v>
      </c>
      <c r="D30" s="356">
        <v>0.98699999999999999</v>
      </c>
      <c r="E30" s="356">
        <v>0.99399999999999999</v>
      </c>
      <c r="F30" s="356">
        <v>1</v>
      </c>
      <c r="G30" s="356">
        <v>1.0129999999999999</v>
      </c>
      <c r="H30" s="356">
        <v>1.0229999999999999</v>
      </c>
      <c r="I30" s="356">
        <v>1.0289999999999999</v>
      </c>
      <c r="J30" s="356">
        <v>1.0329999999999999</v>
      </c>
      <c r="K30" s="356">
        <v>1.0369999999999999</v>
      </c>
      <c r="L30" s="357">
        <v>1.04</v>
      </c>
      <c r="N30" s="471">
        <v>8</v>
      </c>
      <c r="O30" s="473">
        <f>Interpolate1DRowTable(N30,C29:L30)</f>
        <v>0.99399999999999999</v>
      </c>
      <c r="P30" s="8"/>
    </row>
    <row r="31" spans="1:36" ht="20.149999999999999" customHeight="1" x14ac:dyDescent="0.3"/>
    <row r="32" spans="1:36" ht="20.149999999999999" customHeight="1" x14ac:dyDescent="0.3"/>
    <row r="33" ht="20.149999999999999" customHeight="1" x14ac:dyDescent="0.3"/>
    <row r="34" ht="20.149999999999999" customHeight="1" x14ac:dyDescent="0.3"/>
    <row r="35" ht="20.149999999999999" customHeight="1" x14ac:dyDescent="0.3"/>
    <row r="36" ht="20.149999999999999" customHeight="1" x14ac:dyDescent="0.3"/>
    <row r="37" ht="20.149999999999999" customHeight="1" x14ac:dyDescent="0.3"/>
    <row r="38" ht="20.149999999999999" customHeight="1" x14ac:dyDescent="0.3"/>
    <row r="39" ht="20.149999999999999" customHeight="1" x14ac:dyDescent="0.3"/>
    <row r="40" ht="20.149999999999999" customHeight="1" x14ac:dyDescent="0.3"/>
    <row r="41" ht="20.149999999999999" customHeight="1" x14ac:dyDescent="0.3"/>
    <row r="42" ht="20.149999999999999" customHeight="1" x14ac:dyDescent="0.3"/>
    <row r="43" ht="20.149999999999999" customHeight="1" x14ac:dyDescent="0.3"/>
    <row r="44" ht="20.149999999999999" customHeight="1" x14ac:dyDescent="0.3"/>
    <row r="45" ht="20.149999999999999" customHeight="1" x14ac:dyDescent="0.3"/>
    <row r="46" ht="20.149999999999999" customHeight="1" x14ac:dyDescent="0.3"/>
    <row r="47" ht="20.149999999999999" customHeight="1" x14ac:dyDescent="0.3"/>
    <row r="48" ht="20.149999999999999" customHeight="1" x14ac:dyDescent="0.3"/>
    <row r="49" spans="4:13" ht="20.149999999999999" customHeight="1" x14ac:dyDescent="0.3"/>
    <row r="50" spans="4:13" ht="20.149999999999999" customHeight="1" x14ac:dyDescent="0.3"/>
    <row r="51" spans="4:13" ht="20.149999999999999" customHeight="1" x14ac:dyDescent="0.3"/>
    <row r="52" spans="4:13" ht="20.149999999999999" customHeight="1" x14ac:dyDescent="0.3"/>
    <row r="53" spans="4:13" ht="20.149999999999999" customHeight="1" x14ac:dyDescent="0.3">
      <c r="D53" s="134"/>
      <c r="E53" s="134"/>
      <c r="F53" s="134"/>
      <c r="G53" s="135"/>
      <c r="H53" s="134"/>
      <c r="I53" s="134"/>
      <c r="J53" s="134"/>
      <c r="K53" s="134"/>
      <c r="L53" s="134"/>
      <c r="M53" s="135"/>
    </row>
    <row r="54" spans="4:13" ht="20.149999999999999" customHeight="1" x14ac:dyDescent="0.3">
      <c r="D54" s="134"/>
      <c r="E54" s="134"/>
      <c r="F54" s="134"/>
      <c r="G54" s="135"/>
      <c r="H54" s="134"/>
      <c r="I54" s="134"/>
      <c r="J54" s="134"/>
      <c r="K54" s="134"/>
      <c r="L54" s="134"/>
      <c r="M54" s="135"/>
    </row>
    <row r="55" spans="4:13" ht="20.149999999999999" customHeight="1" x14ac:dyDescent="0.3">
      <c r="D55" s="134"/>
      <c r="E55" s="134"/>
      <c r="F55" s="134"/>
      <c r="G55" s="135"/>
      <c r="H55" s="134"/>
      <c r="I55" s="134"/>
      <c r="J55" s="134"/>
      <c r="K55" s="134"/>
      <c r="L55" s="134"/>
      <c r="M55" s="135"/>
    </row>
    <row r="56" spans="4:13" ht="20.149999999999999" customHeight="1" x14ac:dyDescent="0.3">
      <c r="D56" s="135"/>
      <c r="E56" s="135"/>
      <c r="F56" s="135"/>
      <c r="G56" s="135"/>
      <c r="H56" s="135"/>
      <c r="I56" s="135"/>
      <c r="J56" s="135"/>
      <c r="K56" s="135"/>
      <c r="L56" s="135"/>
      <c r="M56" s="135"/>
    </row>
    <row r="57" spans="4:13" ht="20.149999999999999" customHeight="1" x14ac:dyDescent="0.3">
      <c r="D57" s="134"/>
      <c r="E57" s="134"/>
      <c r="F57" s="134"/>
      <c r="G57" s="135"/>
      <c r="H57" s="134"/>
      <c r="I57" s="134"/>
      <c r="J57" s="134"/>
      <c r="K57" s="134"/>
      <c r="L57" s="134"/>
      <c r="M57" s="135"/>
    </row>
    <row r="58" spans="4:13" ht="20.149999999999999" customHeight="1" x14ac:dyDescent="0.3">
      <c r="D58" s="134"/>
      <c r="E58" s="134"/>
      <c r="F58" s="134"/>
      <c r="G58" s="135"/>
      <c r="H58" s="134"/>
      <c r="I58" s="134"/>
      <c r="J58" s="134"/>
      <c r="K58" s="134"/>
      <c r="L58" s="134"/>
      <c r="M58" s="135"/>
    </row>
    <row r="59" spans="4:13" ht="20.149999999999999" customHeight="1" x14ac:dyDescent="0.3">
      <c r="D59" s="134"/>
      <c r="E59" s="134"/>
      <c r="F59" s="134"/>
      <c r="G59" s="135"/>
      <c r="H59" s="134"/>
      <c r="I59" s="134"/>
      <c r="J59" s="134"/>
      <c r="K59" s="134"/>
      <c r="L59" s="134"/>
      <c r="M59" s="135"/>
    </row>
    <row r="60" spans="4:13" ht="20.149999999999999" customHeight="1" x14ac:dyDescent="0.3">
      <c r="D60" s="134"/>
      <c r="E60" s="134"/>
      <c r="F60" s="134"/>
      <c r="G60" s="135"/>
      <c r="H60" s="134"/>
      <c r="I60" s="134"/>
      <c r="J60" s="134"/>
      <c r="K60" s="134"/>
      <c r="L60" s="134"/>
      <c r="M60" s="135"/>
    </row>
    <row r="61" spans="4:13" ht="20.149999999999999" customHeight="1" x14ac:dyDescent="0.3">
      <c r="D61" s="134"/>
      <c r="E61" s="134"/>
      <c r="F61" s="134"/>
      <c r="G61" s="135"/>
      <c r="H61" s="134"/>
      <c r="I61" s="134"/>
      <c r="J61" s="134"/>
      <c r="K61" s="134"/>
      <c r="L61" s="134"/>
      <c r="M61" s="135"/>
    </row>
    <row r="62" spans="4:13" ht="20.149999999999999" customHeight="1" x14ac:dyDescent="0.3"/>
    <row r="63" spans="4:13" ht="20.149999999999999" customHeight="1" x14ac:dyDescent="0.3"/>
    <row r="64" spans="4:13" ht="20.149999999999999" customHeight="1" x14ac:dyDescent="0.3"/>
    <row r="65" ht="20.149999999999999" customHeight="1" x14ac:dyDescent="0.3"/>
    <row r="66" ht="20.149999999999999" customHeight="1" x14ac:dyDescent="0.3"/>
    <row r="67" ht="20.149999999999999" customHeight="1" x14ac:dyDescent="0.3"/>
    <row r="68" ht="20.149999999999999" customHeight="1" x14ac:dyDescent="0.3"/>
    <row r="69" ht="20.149999999999999" customHeight="1" x14ac:dyDescent="0.3"/>
    <row r="70" ht="20.149999999999999" customHeight="1" x14ac:dyDescent="0.3"/>
    <row r="71" ht="20.149999999999999" customHeight="1" x14ac:dyDescent="0.3"/>
    <row r="72" ht="20.149999999999999" customHeight="1" x14ac:dyDescent="0.3"/>
    <row r="73" ht="20.149999999999999" customHeight="1" x14ac:dyDescent="0.3"/>
    <row r="74" ht="20.149999999999999" customHeight="1" x14ac:dyDescent="0.3"/>
    <row r="75" ht="20.149999999999999" customHeight="1" x14ac:dyDescent="0.3"/>
    <row r="76" ht="20.149999999999999" customHeight="1" x14ac:dyDescent="0.3"/>
    <row r="77" ht="20.149999999999999" customHeight="1" x14ac:dyDescent="0.3"/>
    <row r="78" ht="20.149999999999999" customHeight="1" x14ac:dyDescent="0.3"/>
    <row r="79" ht="20.149999999999999" customHeight="1" x14ac:dyDescent="0.3"/>
    <row r="80" ht="20.149999999999999" customHeight="1" x14ac:dyDescent="0.3"/>
    <row r="81" ht="20.149999999999999" customHeight="1" x14ac:dyDescent="0.3"/>
    <row r="82" ht="20.149999999999999" customHeight="1" x14ac:dyDescent="0.3"/>
    <row r="83" ht="20.149999999999999" customHeight="1" x14ac:dyDescent="0.3"/>
    <row r="84" ht="20.149999999999999" customHeight="1" x14ac:dyDescent="0.3"/>
    <row r="85" ht="20.149999999999999" customHeight="1" x14ac:dyDescent="0.3"/>
    <row r="86" ht="20.149999999999999" customHeight="1" x14ac:dyDescent="0.3"/>
    <row r="87" ht="20.149999999999999" customHeight="1" x14ac:dyDescent="0.3"/>
    <row r="88" ht="20.149999999999999" customHeight="1" x14ac:dyDescent="0.3"/>
    <row r="89" ht="20.149999999999999" customHeight="1" x14ac:dyDescent="0.3"/>
    <row r="90" ht="20.149999999999999" customHeight="1" x14ac:dyDescent="0.3"/>
    <row r="91" ht="20.149999999999999" customHeight="1" x14ac:dyDescent="0.3"/>
    <row r="92" ht="20.149999999999999" customHeight="1" x14ac:dyDescent="0.3"/>
    <row r="93" ht="20.149999999999999" customHeight="1" x14ac:dyDescent="0.3"/>
    <row r="94" ht="20.149999999999999" customHeight="1" x14ac:dyDescent="0.3"/>
    <row r="95" ht="20.149999999999999" customHeight="1" x14ac:dyDescent="0.3"/>
    <row r="96" ht="20.149999999999999" customHeight="1" x14ac:dyDescent="0.3"/>
    <row r="97" ht="20.149999999999999" customHeight="1" x14ac:dyDescent="0.3"/>
    <row r="98" ht="20.149999999999999" customHeight="1" x14ac:dyDescent="0.3"/>
    <row r="99" ht="20.149999999999999" customHeight="1" x14ac:dyDescent="0.3"/>
    <row r="100" ht="20.149999999999999" customHeight="1" x14ac:dyDescent="0.3"/>
    <row r="101" ht="20.149999999999999" customHeight="1" x14ac:dyDescent="0.3"/>
    <row r="102" ht="20.149999999999999" customHeight="1" x14ac:dyDescent="0.3"/>
    <row r="103" ht="20.149999999999999" customHeight="1" x14ac:dyDescent="0.3"/>
    <row r="104" ht="20.149999999999999" customHeight="1" x14ac:dyDescent="0.3"/>
    <row r="105" ht="20.149999999999999" customHeight="1" x14ac:dyDescent="0.3"/>
    <row r="106" ht="20.149999999999999" customHeight="1" x14ac:dyDescent="0.3"/>
    <row r="107" ht="20.149999999999999" customHeight="1" x14ac:dyDescent="0.3"/>
    <row r="108" ht="20.149999999999999" customHeight="1" x14ac:dyDescent="0.3"/>
    <row r="109" ht="20.149999999999999" customHeight="1" x14ac:dyDescent="0.3"/>
    <row r="110" ht="20.149999999999999" customHeight="1" x14ac:dyDescent="0.3"/>
    <row r="111" ht="20.149999999999999" customHeight="1" x14ac:dyDescent="0.3"/>
    <row r="112" ht="20.149999999999999" customHeight="1" x14ac:dyDescent="0.3"/>
    <row r="113" ht="20.149999999999999" customHeight="1" x14ac:dyDescent="0.3"/>
    <row r="114" ht="20.149999999999999" customHeight="1" x14ac:dyDescent="0.3"/>
    <row r="115" ht="20.149999999999999" customHeight="1" x14ac:dyDescent="0.3"/>
    <row r="116" ht="20.149999999999999" customHeight="1" x14ac:dyDescent="0.3"/>
    <row r="117" ht="20.149999999999999" customHeight="1" x14ac:dyDescent="0.3"/>
    <row r="118" ht="20.149999999999999" customHeight="1" x14ac:dyDescent="0.3"/>
    <row r="119" ht="20.149999999999999" customHeight="1" x14ac:dyDescent="0.3"/>
    <row r="120" ht="20.149999999999999" customHeight="1" x14ac:dyDescent="0.3"/>
    <row r="121" ht="20.149999999999999" customHeight="1" x14ac:dyDescent="0.3"/>
    <row r="122" ht="20.149999999999999" customHeight="1" x14ac:dyDescent="0.3"/>
    <row r="123" ht="20.149999999999999" customHeight="1" x14ac:dyDescent="0.3"/>
    <row r="124" ht="20.149999999999999" customHeight="1" x14ac:dyDescent="0.3"/>
    <row r="125" ht="20.149999999999999" customHeight="1" x14ac:dyDescent="0.3"/>
    <row r="126" ht="20.149999999999999" customHeight="1" x14ac:dyDescent="0.3"/>
    <row r="127" ht="20.149999999999999" customHeight="1" x14ac:dyDescent="0.3"/>
    <row r="128" ht="20.149999999999999" customHeight="1" x14ac:dyDescent="0.3"/>
    <row r="129" ht="20.149999999999999" customHeight="1" x14ac:dyDescent="0.3"/>
    <row r="130" ht="20.149999999999999" customHeight="1" x14ac:dyDescent="0.3"/>
    <row r="131" ht="20.149999999999999" customHeight="1" x14ac:dyDescent="0.3"/>
    <row r="132" ht="20.149999999999999" customHeight="1" x14ac:dyDescent="0.3"/>
    <row r="133" ht="20.149999999999999" customHeight="1" x14ac:dyDescent="0.3"/>
    <row r="134" ht="20.149999999999999" customHeight="1" x14ac:dyDescent="0.3"/>
    <row r="135" ht="20.149999999999999" customHeight="1" x14ac:dyDescent="0.3"/>
    <row r="136" ht="20.149999999999999" customHeight="1" x14ac:dyDescent="0.3"/>
    <row r="137" ht="20.149999999999999" customHeight="1" x14ac:dyDescent="0.3"/>
    <row r="138" ht="20.149999999999999" customHeight="1" x14ac:dyDescent="0.3"/>
    <row r="139" ht="20.149999999999999" customHeight="1" x14ac:dyDescent="0.3"/>
    <row r="140" ht="20.149999999999999" customHeight="1" x14ac:dyDescent="0.3"/>
    <row r="141" ht="20.149999999999999" customHeight="1" x14ac:dyDescent="0.3"/>
    <row r="142" ht="20.149999999999999" customHeight="1" x14ac:dyDescent="0.3"/>
    <row r="143" ht="20.149999999999999" customHeight="1" x14ac:dyDescent="0.3"/>
    <row r="144" ht="20.149999999999999" customHeight="1" x14ac:dyDescent="0.3"/>
    <row r="145" ht="20.149999999999999" customHeight="1" x14ac:dyDescent="0.3"/>
    <row r="146" ht="20.149999999999999" customHeight="1" x14ac:dyDescent="0.3"/>
    <row r="147" ht="20.149999999999999" customHeight="1" x14ac:dyDescent="0.3"/>
    <row r="148" ht="20.149999999999999" customHeight="1" x14ac:dyDescent="0.3"/>
    <row r="149" ht="20.149999999999999" customHeight="1" x14ac:dyDescent="0.3"/>
    <row r="150" ht="20.149999999999999" customHeight="1" x14ac:dyDescent="0.3"/>
    <row r="151" ht="20.149999999999999" customHeight="1" x14ac:dyDescent="0.3"/>
    <row r="152" ht="20.149999999999999" customHeight="1" x14ac:dyDescent="0.3"/>
    <row r="153" ht="20.149999999999999" customHeight="1" x14ac:dyDescent="0.3"/>
    <row r="154" ht="20.149999999999999" customHeight="1" x14ac:dyDescent="0.3"/>
    <row r="155" ht="20.149999999999999" customHeight="1" x14ac:dyDescent="0.3"/>
    <row r="156" ht="20.149999999999999" customHeight="1" x14ac:dyDescent="0.3"/>
    <row r="157" ht="20.149999999999999" customHeight="1" x14ac:dyDescent="0.3"/>
    <row r="158" ht="20.149999999999999" customHeight="1" x14ac:dyDescent="0.3"/>
    <row r="159" ht="20.149999999999999" customHeight="1" x14ac:dyDescent="0.3"/>
    <row r="160" ht="20.149999999999999" customHeight="1" x14ac:dyDescent="0.3"/>
    <row r="161" ht="20.149999999999999" customHeight="1" x14ac:dyDescent="0.3"/>
  </sheetData>
  <mergeCells count="19">
    <mergeCell ref="AF4:AJ4"/>
    <mergeCell ref="AF16:AJ16"/>
    <mergeCell ref="N27:O28"/>
    <mergeCell ref="A30:B30"/>
    <mergeCell ref="A27:L27"/>
    <mergeCell ref="A16:B16"/>
    <mergeCell ref="C15:L15"/>
    <mergeCell ref="C3:L3"/>
    <mergeCell ref="S16:T16"/>
    <mergeCell ref="A29:B29"/>
    <mergeCell ref="A1:AD1"/>
    <mergeCell ref="U15:AD15"/>
    <mergeCell ref="U3:AD3"/>
    <mergeCell ref="S4:T4"/>
    <mergeCell ref="N2:Q2"/>
    <mergeCell ref="A4:B4"/>
    <mergeCell ref="H2:L2"/>
    <mergeCell ref="N4:R4"/>
    <mergeCell ref="N16:R16"/>
  </mergeCells>
  <phoneticPr fontId="0" type="noConversion"/>
  <printOptions horizontalCentered="1"/>
  <pageMargins left="0.35433070866141736" right="0.35433070866141736" top="1.47" bottom="0.31496062992125984" header="0.28000000000000003" footer="0.31496062992125984"/>
  <pageSetup scale="63" orientation="landscape" horizontalDpi="1200" verticalDpi="1200" r:id="rId1"/>
  <headerFooter alignWithMargins="0">
    <oddHeader>&amp;L&amp;G&amp;R
&amp;"Arial,Bold"&amp;11Sample Dosimetric Data Tables</oddHeader>
    <oddFooter>&amp;C- &amp;P -&amp;RIS Jan11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HV138"/>
  <sheetViews>
    <sheetView showGridLines="0" workbookViewId="0">
      <selection activeCell="AH29" sqref="AH29"/>
    </sheetView>
  </sheetViews>
  <sheetFormatPr defaultRowHeight="12.45" x14ac:dyDescent="0.3"/>
  <cols>
    <col min="1" max="1" width="6.4609375" customWidth="1"/>
    <col min="2" max="26" width="4.84375" customWidth="1"/>
    <col min="27" max="230" width="9.07421875" style="79" customWidth="1"/>
  </cols>
  <sheetData>
    <row r="1" spans="1:230" s="223" customFormat="1" ht="30" customHeight="1" x14ac:dyDescent="0.45">
      <c r="A1" s="523" t="s">
        <v>118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623"/>
      <c r="M1" s="623"/>
      <c r="N1" s="623"/>
      <c r="O1" s="623"/>
      <c r="P1" s="623"/>
      <c r="Q1" s="623"/>
      <c r="R1" s="623"/>
      <c r="S1" s="623"/>
      <c r="T1" s="623"/>
      <c r="U1" s="623"/>
      <c r="V1" s="623"/>
      <c r="W1" s="623"/>
      <c r="X1" s="623"/>
      <c r="Y1" s="623"/>
      <c r="Z1" s="623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224"/>
      <c r="BA1" s="224"/>
      <c r="BB1" s="224"/>
      <c r="BC1" s="224"/>
      <c r="BD1" s="224"/>
      <c r="BE1" s="224"/>
      <c r="BF1" s="224"/>
      <c r="BG1" s="224"/>
      <c r="BH1" s="224"/>
      <c r="BI1" s="224"/>
      <c r="BJ1" s="224"/>
      <c r="BK1" s="224"/>
      <c r="BL1" s="224"/>
      <c r="BM1" s="224"/>
      <c r="BN1" s="224"/>
      <c r="BO1" s="224"/>
      <c r="BP1" s="224"/>
      <c r="BQ1" s="224"/>
      <c r="BR1" s="224"/>
      <c r="BS1" s="224"/>
      <c r="BT1" s="224"/>
      <c r="BU1" s="224"/>
      <c r="BV1" s="224"/>
      <c r="BW1" s="224"/>
      <c r="BX1" s="224"/>
      <c r="BY1" s="224"/>
      <c r="BZ1" s="224"/>
      <c r="CA1" s="224"/>
      <c r="CB1" s="224"/>
      <c r="CC1" s="224"/>
      <c r="CD1" s="224"/>
      <c r="CE1" s="224"/>
      <c r="CF1" s="224"/>
      <c r="CG1" s="224"/>
      <c r="CH1" s="224"/>
      <c r="CI1" s="224"/>
      <c r="CJ1" s="224"/>
      <c r="CK1" s="224"/>
      <c r="CL1" s="224"/>
      <c r="CM1" s="224"/>
      <c r="CN1" s="224"/>
      <c r="CO1" s="224"/>
      <c r="CP1" s="224"/>
      <c r="CQ1" s="224"/>
      <c r="CR1" s="224"/>
      <c r="CS1" s="224"/>
      <c r="CT1" s="224"/>
      <c r="CU1" s="224"/>
      <c r="CV1" s="224"/>
      <c r="CW1" s="224"/>
      <c r="CX1" s="224"/>
      <c r="CY1" s="224"/>
      <c r="CZ1" s="224"/>
      <c r="DA1" s="224"/>
      <c r="DB1" s="224"/>
      <c r="DC1" s="224"/>
      <c r="DD1" s="224"/>
      <c r="DE1" s="224"/>
      <c r="DF1" s="224"/>
      <c r="DG1" s="224"/>
      <c r="DH1" s="224"/>
      <c r="DI1" s="224"/>
      <c r="DJ1" s="224"/>
      <c r="DK1" s="224"/>
      <c r="DL1" s="224"/>
      <c r="DM1" s="224"/>
      <c r="DN1" s="224"/>
      <c r="DO1" s="224"/>
      <c r="DP1" s="224"/>
      <c r="DQ1" s="224"/>
      <c r="DR1" s="224"/>
      <c r="DS1" s="224"/>
      <c r="DT1" s="224"/>
      <c r="DU1" s="224"/>
      <c r="DV1" s="224"/>
      <c r="DW1" s="224"/>
      <c r="DX1" s="224"/>
      <c r="DY1" s="224"/>
      <c r="DZ1" s="224"/>
      <c r="EA1" s="224"/>
      <c r="EB1" s="224"/>
      <c r="EC1" s="224"/>
      <c r="ED1" s="224"/>
      <c r="EE1" s="224"/>
      <c r="EF1" s="224"/>
      <c r="EG1" s="224"/>
      <c r="EH1" s="224"/>
      <c r="EI1" s="224"/>
      <c r="EJ1" s="224"/>
      <c r="EK1" s="224"/>
      <c r="EL1" s="224"/>
      <c r="EM1" s="224"/>
      <c r="EN1" s="224"/>
      <c r="EO1" s="224"/>
      <c r="EP1" s="224"/>
      <c r="EQ1" s="224"/>
      <c r="ER1" s="224"/>
      <c r="ES1" s="224"/>
      <c r="ET1" s="224"/>
      <c r="EU1" s="224"/>
      <c r="EV1" s="224"/>
      <c r="EW1" s="224"/>
      <c r="EX1" s="224"/>
      <c r="EY1" s="224"/>
      <c r="EZ1" s="224"/>
      <c r="FA1" s="224"/>
      <c r="FB1" s="224"/>
      <c r="FC1" s="224"/>
      <c r="FD1" s="224"/>
      <c r="FE1" s="224"/>
      <c r="FF1" s="224"/>
      <c r="FG1" s="224"/>
      <c r="FH1" s="224"/>
      <c r="FI1" s="224"/>
      <c r="FJ1" s="224"/>
      <c r="FK1" s="224"/>
      <c r="FL1" s="224"/>
      <c r="FM1" s="224"/>
      <c r="FN1" s="224"/>
      <c r="FO1" s="224"/>
      <c r="FP1" s="224"/>
      <c r="FQ1" s="224"/>
      <c r="FR1" s="224"/>
      <c r="FS1" s="224"/>
      <c r="FT1" s="224"/>
      <c r="FU1" s="224"/>
      <c r="FV1" s="224"/>
      <c r="FW1" s="224"/>
      <c r="FX1" s="224"/>
      <c r="FY1" s="224"/>
      <c r="FZ1" s="224"/>
      <c r="GA1" s="224"/>
      <c r="GB1" s="224"/>
      <c r="GC1" s="224"/>
      <c r="GD1" s="224"/>
      <c r="GE1" s="224"/>
      <c r="GF1" s="224"/>
      <c r="GG1" s="224"/>
      <c r="GH1" s="224"/>
      <c r="GI1" s="224"/>
      <c r="GJ1" s="224"/>
      <c r="GK1" s="224"/>
      <c r="GL1" s="224"/>
      <c r="GM1" s="224"/>
      <c r="GN1" s="224"/>
      <c r="GO1" s="224"/>
      <c r="GP1" s="224"/>
      <c r="GQ1" s="224"/>
      <c r="GR1" s="224"/>
      <c r="GS1" s="224"/>
      <c r="GT1" s="224"/>
      <c r="GU1" s="224"/>
      <c r="GV1" s="224"/>
      <c r="GW1" s="224"/>
      <c r="GX1" s="224"/>
      <c r="GY1" s="224"/>
      <c r="GZ1" s="224"/>
      <c r="HA1" s="224"/>
      <c r="HB1" s="224"/>
      <c r="HC1" s="224"/>
      <c r="HD1" s="224"/>
      <c r="HE1" s="224"/>
      <c r="HF1" s="224"/>
      <c r="HG1" s="224"/>
      <c r="HH1" s="224"/>
      <c r="HI1" s="224"/>
      <c r="HJ1" s="224"/>
      <c r="HK1" s="224"/>
      <c r="HL1" s="224"/>
      <c r="HM1" s="224"/>
      <c r="HN1" s="224"/>
      <c r="HO1" s="224"/>
      <c r="HP1" s="224"/>
      <c r="HQ1" s="224"/>
      <c r="HR1" s="224"/>
      <c r="HS1" s="224"/>
      <c r="HT1" s="224"/>
      <c r="HU1" s="224"/>
      <c r="HV1" s="224"/>
    </row>
    <row r="2" spans="1:230" ht="29.4" customHeight="1" thickBot="1" x14ac:dyDescent="0.35">
      <c r="A2" s="263" t="s">
        <v>28</v>
      </c>
      <c r="B2" s="264">
        <v>1</v>
      </c>
      <c r="C2" s="265">
        <v>2</v>
      </c>
      <c r="D2" s="265">
        <v>3</v>
      </c>
      <c r="E2" s="265">
        <v>4</v>
      </c>
      <c r="F2" s="265">
        <v>5</v>
      </c>
      <c r="G2" s="265">
        <v>6</v>
      </c>
      <c r="H2" s="265">
        <v>7</v>
      </c>
      <c r="I2" s="265">
        <v>8</v>
      </c>
      <c r="J2" s="265">
        <v>9</v>
      </c>
      <c r="K2" s="265">
        <v>10</v>
      </c>
      <c r="L2" s="265">
        <v>11</v>
      </c>
      <c r="M2" s="265">
        <v>12</v>
      </c>
      <c r="N2" s="265">
        <v>13</v>
      </c>
      <c r="O2" s="265">
        <v>14</v>
      </c>
      <c r="P2" s="266">
        <v>15</v>
      </c>
      <c r="Q2" s="266">
        <v>16</v>
      </c>
      <c r="R2" s="266">
        <v>17</v>
      </c>
      <c r="S2" s="266">
        <v>18</v>
      </c>
      <c r="T2" s="266">
        <v>19</v>
      </c>
      <c r="U2" s="266">
        <v>20</v>
      </c>
      <c r="V2" s="266">
        <v>22</v>
      </c>
      <c r="W2" s="266">
        <v>24</v>
      </c>
      <c r="X2" s="266">
        <v>26</v>
      </c>
      <c r="Y2" s="266">
        <v>28</v>
      </c>
      <c r="Z2" s="267">
        <v>30</v>
      </c>
    </row>
    <row r="3" spans="1:230" ht="17.25" customHeight="1" thickTop="1" x14ac:dyDescent="0.3">
      <c r="A3" s="268">
        <v>1</v>
      </c>
      <c r="B3" s="269">
        <v>1</v>
      </c>
      <c r="C3" s="270">
        <f t="array" ref="C3:Z3">TRANSPOSE(B4:B27)</f>
        <v>1.4</v>
      </c>
      <c r="D3" s="270">
        <v>1.6</v>
      </c>
      <c r="E3" s="270">
        <v>1.7</v>
      </c>
      <c r="F3" s="270">
        <v>1.8</v>
      </c>
      <c r="G3" s="270">
        <v>1.9</v>
      </c>
      <c r="H3" s="270">
        <v>2</v>
      </c>
      <c r="I3" s="270">
        <v>2.1</v>
      </c>
      <c r="J3" s="270">
        <v>2.1</v>
      </c>
      <c r="K3" s="270">
        <v>2.2000000000000002</v>
      </c>
      <c r="L3" s="270">
        <v>2.2000000000000002</v>
      </c>
      <c r="M3" s="270">
        <v>2.2000000000000002</v>
      </c>
      <c r="N3" s="270">
        <v>2.2000000000000002</v>
      </c>
      <c r="O3" s="270">
        <v>2.2999999999999998</v>
      </c>
      <c r="P3" s="270">
        <v>2.2999999999999998</v>
      </c>
      <c r="Q3" s="270">
        <v>2.2999999999999998</v>
      </c>
      <c r="R3" s="270">
        <v>2.2999999999999998</v>
      </c>
      <c r="S3" s="270">
        <v>2.2999999999999998</v>
      </c>
      <c r="T3" s="270">
        <v>2.2999999999999998</v>
      </c>
      <c r="U3" s="270">
        <v>2.2999999999999998</v>
      </c>
      <c r="V3" s="270">
        <v>2.2999999999999998</v>
      </c>
      <c r="W3" s="270">
        <v>2.4</v>
      </c>
      <c r="X3" s="270">
        <v>2.4</v>
      </c>
      <c r="Y3" s="270">
        <v>2.4</v>
      </c>
      <c r="Z3" s="271">
        <v>2.4</v>
      </c>
    </row>
    <row r="4" spans="1:230" s="104" customFormat="1" ht="17.25" customHeight="1" x14ac:dyDescent="0.3">
      <c r="A4" s="272">
        <v>2</v>
      </c>
      <c r="B4" s="273">
        <v>1.4</v>
      </c>
      <c r="C4" s="274">
        <v>2</v>
      </c>
      <c r="D4" s="275">
        <f t="array" ref="D4:Z4">TRANSPOSE(C5:C27)</f>
        <v>2.4</v>
      </c>
      <c r="E4" s="275">
        <v>2.7</v>
      </c>
      <c r="F4" s="275">
        <v>3</v>
      </c>
      <c r="G4" s="275">
        <v>3.1</v>
      </c>
      <c r="H4" s="275">
        <v>3.3</v>
      </c>
      <c r="I4" s="275">
        <v>3.4</v>
      </c>
      <c r="J4" s="275">
        <v>3.5</v>
      </c>
      <c r="K4" s="275">
        <v>3.6</v>
      </c>
      <c r="L4" s="275">
        <v>3.7</v>
      </c>
      <c r="M4" s="275">
        <v>3.7</v>
      </c>
      <c r="N4" s="275">
        <v>3.8</v>
      </c>
      <c r="O4" s="275">
        <v>3.8</v>
      </c>
      <c r="P4" s="275">
        <v>3.9</v>
      </c>
      <c r="Q4" s="275">
        <v>3.9</v>
      </c>
      <c r="R4" s="275">
        <v>3.9</v>
      </c>
      <c r="S4" s="275">
        <v>4</v>
      </c>
      <c r="T4" s="275">
        <v>4</v>
      </c>
      <c r="U4" s="275">
        <v>4</v>
      </c>
      <c r="V4" s="275">
        <v>4</v>
      </c>
      <c r="W4" s="275">
        <v>4.0999999999999996</v>
      </c>
      <c r="X4" s="275">
        <v>4.0999999999999996</v>
      </c>
      <c r="Y4" s="275">
        <v>4.0999999999999996</v>
      </c>
      <c r="Z4" s="276">
        <v>4.0999999999999996</v>
      </c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</row>
    <row r="5" spans="1:230" ht="17.25" customHeight="1" x14ac:dyDescent="0.3">
      <c r="A5" s="277">
        <v>3</v>
      </c>
      <c r="B5" s="278">
        <v>1.6</v>
      </c>
      <c r="C5" s="279">
        <v>2.4</v>
      </c>
      <c r="D5" s="279">
        <v>3</v>
      </c>
      <c r="E5" s="280">
        <f t="array" ref="E5:Z5">TRANSPOSE(D6:D27)</f>
        <v>3.4</v>
      </c>
      <c r="F5" s="280">
        <v>3.8</v>
      </c>
      <c r="G5" s="280">
        <v>4.0999999999999996</v>
      </c>
      <c r="H5" s="280">
        <v>4.3</v>
      </c>
      <c r="I5" s="280">
        <v>4.5</v>
      </c>
      <c r="J5" s="280">
        <v>4.5999999999999996</v>
      </c>
      <c r="K5" s="280">
        <v>4.8</v>
      </c>
      <c r="L5" s="280">
        <v>4.9000000000000004</v>
      </c>
      <c r="M5" s="280">
        <v>5</v>
      </c>
      <c r="N5" s="280">
        <v>5.0999999999999996</v>
      </c>
      <c r="O5" s="280">
        <v>5.0999999999999996</v>
      </c>
      <c r="P5" s="280">
        <v>5.2</v>
      </c>
      <c r="Q5" s="280">
        <v>5.2</v>
      </c>
      <c r="R5" s="280">
        <v>5.3</v>
      </c>
      <c r="S5" s="280">
        <v>5.3</v>
      </c>
      <c r="T5" s="280">
        <v>5.4</v>
      </c>
      <c r="U5" s="280">
        <v>5.4</v>
      </c>
      <c r="V5" s="280">
        <v>5.5</v>
      </c>
      <c r="W5" s="280">
        <v>5.5</v>
      </c>
      <c r="X5" s="280">
        <v>5.5</v>
      </c>
      <c r="Y5" s="280">
        <v>5.6</v>
      </c>
      <c r="Z5" s="281">
        <v>5.6</v>
      </c>
    </row>
    <row r="6" spans="1:230" s="104" customFormat="1" ht="17.25" customHeight="1" x14ac:dyDescent="0.3">
      <c r="A6" s="272">
        <v>4</v>
      </c>
      <c r="B6" s="273">
        <v>1.7</v>
      </c>
      <c r="C6" s="274">
        <v>2.7</v>
      </c>
      <c r="D6" s="274">
        <v>3.4</v>
      </c>
      <c r="E6" s="274">
        <v>4</v>
      </c>
      <c r="F6" s="275">
        <f t="array" ref="F6:Z6">TRANSPOSE(E7:E27)</f>
        <v>4.5</v>
      </c>
      <c r="G6" s="275">
        <v>4.8</v>
      </c>
      <c r="H6" s="275">
        <v>5.0999999999999996</v>
      </c>
      <c r="I6" s="275">
        <v>5.4</v>
      </c>
      <c r="J6" s="275">
        <v>5.6</v>
      </c>
      <c r="K6" s="275">
        <v>5.8</v>
      </c>
      <c r="L6" s="275">
        <v>5.9</v>
      </c>
      <c r="M6" s="275">
        <v>6.1</v>
      </c>
      <c r="N6" s="275">
        <v>6.2</v>
      </c>
      <c r="O6" s="275">
        <v>6.3</v>
      </c>
      <c r="P6" s="275">
        <v>6.4</v>
      </c>
      <c r="Q6" s="275">
        <v>6.5</v>
      </c>
      <c r="R6" s="275">
        <v>6.5</v>
      </c>
      <c r="S6" s="275">
        <v>6.6</v>
      </c>
      <c r="T6" s="275">
        <v>6.6</v>
      </c>
      <c r="U6" s="275">
        <v>6.7</v>
      </c>
      <c r="V6" s="275">
        <v>6.8</v>
      </c>
      <c r="W6" s="275">
        <v>6.8</v>
      </c>
      <c r="X6" s="275">
        <v>6.9</v>
      </c>
      <c r="Y6" s="275">
        <v>6.9</v>
      </c>
      <c r="Z6" s="276">
        <v>6.9</v>
      </c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</row>
    <row r="7" spans="1:230" ht="17.25" customHeight="1" x14ac:dyDescent="0.3">
      <c r="A7" s="277">
        <v>5</v>
      </c>
      <c r="B7" s="278">
        <v>1.8</v>
      </c>
      <c r="C7" s="279">
        <v>3</v>
      </c>
      <c r="D7" s="279">
        <v>3.8</v>
      </c>
      <c r="E7" s="279">
        <v>4.5</v>
      </c>
      <c r="F7" s="279">
        <v>5</v>
      </c>
      <c r="G7" s="280">
        <f t="array" ref="G7:Z7">TRANSPOSE(F8:F27)</f>
        <v>5.5</v>
      </c>
      <c r="H7" s="280">
        <v>5.8</v>
      </c>
      <c r="I7" s="280">
        <v>6.2</v>
      </c>
      <c r="J7" s="280">
        <v>6.5</v>
      </c>
      <c r="K7" s="280">
        <v>6.7</v>
      </c>
      <c r="L7" s="280">
        <v>6.9</v>
      </c>
      <c r="M7" s="280">
        <v>7.1</v>
      </c>
      <c r="N7" s="280">
        <v>7.2</v>
      </c>
      <c r="O7" s="280">
        <v>7.4</v>
      </c>
      <c r="P7" s="280">
        <v>7.5</v>
      </c>
      <c r="Q7" s="280">
        <v>7.6</v>
      </c>
      <c r="R7" s="280">
        <v>7.7</v>
      </c>
      <c r="S7" s="280">
        <v>7.8</v>
      </c>
      <c r="T7" s="280">
        <v>7.8</v>
      </c>
      <c r="U7" s="280">
        <v>7.9</v>
      </c>
      <c r="V7" s="280">
        <v>8</v>
      </c>
      <c r="W7" s="280">
        <v>8.1</v>
      </c>
      <c r="X7" s="280">
        <v>8.1</v>
      </c>
      <c r="Y7" s="280">
        <v>8.1999999999999993</v>
      </c>
      <c r="Z7" s="281">
        <v>8.1999999999999993</v>
      </c>
    </row>
    <row r="8" spans="1:230" s="104" customFormat="1" ht="17.25" customHeight="1" x14ac:dyDescent="0.3">
      <c r="A8" s="272">
        <v>6</v>
      </c>
      <c r="B8" s="273">
        <v>1.9</v>
      </c>
      <c r="C8" s="274">
        <v>3.1</v>
      </c>
      <c r="D8" s="274">
        <v>4.0999999999999996</v>
      </c>
      <c r="E8" s="274">
        <v>4.8</v>
      </c>
      <c r="F8" s="274">
        <v>5.5</v>
      </c>
      <c r="G8" s="274">
        <v>6</v>
      </c>
      <c r="H8" s="275">
        <f t="array" ref="H8:Z8">TRANSPOSE(G9:G27)</f>
        <v>6.5</v>
      </c>
      <c r="I8" s="275">
        <v>6.9</v>
      </c>
      <c r="J8" s="275">
        <v>7.2</v>
      </c>
      <c r="K8" s="275">
        <v>7.5</v>
      </c>
      <c r="L8" s="275">
        <v>7.8</v>
      </c>
      <c r="M8" s="275">
        <v>8</v>
      </c>
      <c r="N8" s="275">
        <v>8.1999999999999993</v>
      </c>
      <c r="O8" s="275">
        <v>8.4</v>
      </c>
      <c r="P8" s="275">
        <v>8.5</v>
      </c>
      <c r="Q8" s="275">
        <v>8.6</v>
      </c>
      <c r="R8" s="275">
        <v>8.8000000000000007</v>
      </c>
      <c r="S8" s="275">
        <v>8.9</v>
      </c>
      <c r="T8" s="275">
        <v>8.9</v>
      </c>
      <c r="U8" s="275">
        <v>9</v>
      </c>
      <c r="V8" s="275">
        <v>9.1</v>
      </c>
      <c r="W8" s="275">
        <v>9.1999999999999993</v>
      </c>
      <c r="X8" s="275">
        <v>9.3000000000000007</v>
      </c>
      <c r="Y8" s="275">
        <v>9.4</v>
      </c>
      <c r="Z8" s="276">
        <v>9.4</v>
      </c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</row>
    <row r="9" spans="1:230" ht="17.25" customHeight="1" x14ac:dyDescent="0.3">
      <c r="A9" s="277">
        <v>7</v>
      </c>
      <c r="B9" s="278">
        <v>2</v>
      </c>
      <c r="C9" s="279">
        <v>3.3</v>
      </c>
      <c r="D9" s="279">
        <v>4.3</v>
      </c>
      <c r="E9" s="279">
        <v>5.0999999999999996</v>
      </c>
      <c r="F9" s="279">
        <v>5.8</v>
      </c>
      <c r="G9" s="279">
        <v>6.5</v>
      </c>
      <c r="H9" s="279">
        <v>7</v>
      </c>
      <c r="I9" s="280">
        <f t="array" ref="I9:Z9">TRANSPOSE(H10:I27)</f>
        <v>7.5</v>
      </c>
      <c r="J9" s="280">
        <v>7.9</v>
      </c>
      <c r="K9" s="280">
        <v>8.1999999999999993</v>
      </c>
      <c r="L9" s="280">
        <v>8.6</v>
      </c>
      <c r="M9" s="280">
        <v>8.8000000000000007</v>
      </c>
      <c r="N9" s="280">
        <v>9.1</v>
      </c>
      <c r="O9" s="280">
        <v>9.3000000000000007</v>
      </c>
      <c r="P9" s="280">
        <v>9.5</v>
      </c>
      <c r="Q9" s="280">
        <v>9.6</v>
      </c>
      <c r="R9" s="280">
        <v>9.8000000000000007</v>
      </c>
      <c r="S9" s="280">
        <v>9.9</v>
      </c>
      <c r="T9" s="280">
        <v>10</v>
      </c>
      <c r="U9" s="280">
        <v>10.1</v>
      </c>
      <c r="V9" s="280">
        <v>10.3</v>
      </c>
      <c r="W9" s="280">
        <v>10.4</v>
      </c>
      <c r="X9" s="280">
        <v>10.5</v>
      </c>
      <c r="Y9" s="280">
        <v>10.5</v>
      </c>
      <c r="Z9" s="281">
        <v>10.6</v>
      </c>
      <c r="AB9" s="617" t="s">
        <v>27</v>
      </c>
      <c r="AC9" s="618"/>
      <c r="AD9" s="618"/>
    </row>
    <row r="10" spans="1:230" s="104" customFormat="1" ht="17.25" customHeight="1" thickBot="1" x14ac:dyDescent="0.35">
      <c r="A10" s="272">
        <v>8</v>
      </c>
      <c r="B10" s="273">
        <v>2.1</v>
      </c>
      <c r="C10" s="274">
        <v>3.4</v>
      </c>
      <c r="D10" s="274">
        <v>4.5</v>
      </c>
      <c r="E10" s="274">
        <v>5.4</v>
      </c>
      <c r="F10" s="274">
        <v>6.2</v>
      </c>
      <c r="G10" s="274">
        <v>6.9</v>
      </c>
      <c r="H10" s="274">
        <v>7.5</v>
      </c>
      <c r="I10" s="274">
        <v>8</v>
      </c>
      <c r="J10" s="282">
        <f t="array" ref="J10:Z10">TRANSPOSE(I11:I27)</f>
        <v>8.5</v>
      </c>
      <c r="K10" s="282">
        <v>8.9</v>
      </c>
      <c r="L10" s="282">
        <v>9.3000000000000007</v>
      </c>
      <c r="M10" s="282">
        <v>9.6</v>
      </c>
      <c r="N10" s="282">
        <v>9.9</v>
      </c>
      <c r="O10" s="282">
        <v>10.1</v>
      </c>
      <c r="P10" s="282">
        <v>10.3</v>
      </c>
      <c r="Q10" s="282">
        <v>10.5</v>
      </c>
      <c r="R10" s="282">
        <v>10.7</v>
      </c>
      <c r="S10" s="282">
        <v>10.8</v>
      </c>
      <c r="T10" s="282">
        <v>11</v>
      </c>
      <c r="U10" s="282">
        <v>11.1</v>
      </c>
      <c r="V10" s="282">
        <v>11.3</v>
      </c>
      <c r="W10" s="282">
        <v>11.5</v>
      </c>
      <c r="X10" s="282">
        <v>11.6</v>
      </c>
      <c r="Y10" s="282">
        <v>11.7</v>
      </c>
      <c r="Z10" s="283">
        <v>11.7</v>
      </c>
      <c r="AA10" s="79"/>
      <c r="AB10" s="35"/>
      <c r="AC10" s="67"/>
      <c r="AD10" s="67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</row>
    <row r="11" spans="1:230" ht="17.25" customHeight="1" thickBot="1" x14ac:dyDescent="0.35">
      <c r="A11" s="277">
        <v>9</v>
      </c>
      <c r="B11" s="278">
        <v>2.1</v>
      </c>
      <c r="C11" s="279">
        <v>3.5</v>
      </c>
      <c r="D11" s="279">
        <v>4.5999999999999996</v>
      </c>
      <c r="E11" s="279">
        <v>5.6</v>
      </c>
      <c r="F11" s="279">
        <v>6.5</v>
      </c>
      <c r="G11" s="279">
        <v>7.2</v>
      </c>
      <c r="H11" s="279">
        <v>7.9</v>
      </c>
      <c r="I11" s="279">
        <v>8.5</v>
      </c>
      <c r="J11" s="279">
        <v>9</v>
      </c>
      <c r="K11" s="280">
        <f t="array" ref="K11:Z11">TRANSPOSE(J12:J27)</f>
        <v>9.5</v>
      </c>
      <c r="L11" s="280">
        <v>9.9</v>
      </c>
      <c r="M11" s="280">
        <v>10.3</v>
      </c>
      <c r="N11" s="280">
        <v>10.6</v>
      </c>
      <c r="O11" s="280">
        <v>10.9</v>
      </c>
      <c r="P11" s="280">
        <v>11.2</v>
      </c>
      <c r="Q11" s="280">
        <v>11.4</v>
      </c>
      <c r="R11" s="280">
        <v>11.6</v>
      </c>
      <c r="S11" s="280">
        <v>11.8</v>
      </c>
      <c r="T11" s="280">
        <v>11.9</v>
      </c>
      <c r="U11" s="280">
        <v>12.1</v>
      </c>
      <c r="V11" s="280">
        <v>12.3</v>
      </c>
      <c r="W11" s="280">
        <v>12.5</v>
      </c>
      <c r="X11" s="280">
        <v>12.6</v>
      </c>
      <c r="Y11" s="280">
        <v>12.8</v>
      </c>
      <c r="Z11" s="281">
        <v>12.8</v>
      </c>
      <c r="AB11" s="619" t="s">
        <v>18</v>
      </c>
      <c r="AC11" s="620"/>
      <c r="AD11" s="621"/>
    </row>
    <row r="12" spans="1:230" s="104" customFormat="1" ht="17.25" customHeight="1" thickBot="1" x14ac:dyDescent="0.35">
      <c r="A12" s="272">
        <v>10</v>
      </c>
      <c r="B12" s="273">
        <v>2.2000000000000002</v>
      </c>
      <c r="C12" s="274">
        <v>3.6</v>
      </c>
      <c r="D12" s="274">
        <v>4.8</v>
      </c>
      <c r="E12" s="274">
        <v>5.8</v>
      </c>
      <c r="F12" s="274">
        <v>6.7</v>
      </c>
      <c r="G12" s="274">
        <v>7.5</v>
      </c>
      <c r="H12" s="274">
        <v>8.1999999999999993</v>
      </c>
      <c r="I12" s="274">
        <v>8.9</v>
      </c>
      <c r="J12" s="274">
        <v>9.5</v>
      </c>
      <c r="K12" s="284">
        <v>10</v>
      </c>
      <c r="L12" s="282">
        <f t="array" ref="L12:Z12">TRANSPOSE(K13:K27)</f>
        <v>10.5</v>
      </c>
      <c r="M12" s="282">
        <v>10.9</v>
      </c>
      <c r="N12" s="282">
        <v>11.3</v>
      </c>
      <c r="O12" s="282">
        <v>11.6</v>
      </c>
      <c r="P12" s="282">
        <v>11.9</v>
      </c>
      <c r="Q12" s="282">
        <v>12.2</v>
      </c>
      <c r="R12" s="282">
        <v>12.4</v>
      </c>
      <c r="S12" s="282">
        <v>12.7</v>
      </c>
      <c r="T12" s="282">
        <v>12.8</v>
      </c>
      <c r="U12" s="282">
        <v>13</v>
      </c>
      <c r="V12" s="282">
        <v>13.3</v>
      </c>
      <c r="W12" s="282">
        <v>13.5</v>
      </c>
      <c r="X12" s="282">
        <v>13.7</v>
      </c>
      <c r="Y12" s="282">
        <v>13.8</v>
      </c>
      <c r="Z12" s="283">
        <v>13.9</v>
      </c>
      <c r="AA12" s="79"/>
      <c r="AB12" s="122" t="s">
        <v>29</v>
      </c>
      <c r="AC12" s="244" t="s">
        <v>30</v>
      </c>
      <c r="AD12" s="148" t="s">
        <v>39</v>
      </c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</row>
    <row r="13" spans="1:230" ht="17.25" customHeight="1" thickBot="1" x14ac:dyDescent="0.35">
      <c r="A13" s="277">
        <v>11</v>
      </c>
      <c r="B13" s="278">
        <v>2.2000000000000002</v>
      </c>
      <c r="C13" s="279">
        <v>3.7</v>
      </c>
      <c r="D13" s="279">
        <v>4.9000000000000004</v>
      </c>
      <c r="E13" s="279">
        <v>5.9</v>
      </c>
      <c r="F13" s="279">
        <v>6.9</v>
      </c>
      <c r="G13" s="279">
        <v>7.8</v>
      </c>
      <c r="H13" s="279">
        <v>8.6</v>
      </c>
      <c r="I13" s="279">
        <v>9.3000000000000007</v>
      </c>
      <c r="J13" s="279">
        <v>9.9</v>
      </c>
      <c r="K13" s="285">
        <v>10.5</v>
      </c>
      <c r="L13" s="285">
        <v>11</v>
      </c>
      <c r="M13" s="286">
        <f t="array" ref="M13:Z13">TRANSPOSE(L14:M27)</f>
        <v>11.5</v>
      </c>
      <c r="N13" s="286">
        <v>11.9</v>
      </c>
      <c r="O13" s="286">
        <v>12.3</v>
      </c>
      <c r="P13" s="286">
        <v>12.6</v>
      </c>
      <c r="Q13" s="286">
        <v>13</v>
      </c>
      <c r="R13" s="286">
        <v>13.2</v>
      </c>
      <c r="S13" s="286">
        <v>13.5</v>
      </c>
      <c r="T13" s="286">
        <v>13.7</v>
      </c>
      <c r="U13" s="286">
        <v>13.9</v>
      </c>
      <c r="V13" s="286">
        <v>14.2</v>
      </c>
      <c r="W13" s="286">
        <v>14.5</v>
      </c>
      <c r="X13" s="286">
        <v>14.7</v>
      </c>
      <c r="Y13" s="286">
        <v>14.8</v>
      </c>
      <c r="Z13" s="287">
        <v>15</v>
      </c>
      <c r="AB13" s="474">
        <v>10</v>
      </c>
      <c r="AC13" s="475">
        <v>10</v>
      </c>
      <c r="AD13" s="148">
        <f>Interpolate2DTable(AB13,AC13,A2:Z27)</f>
        <v>10</v>
      </c>
    </row>
    <row r="14" spans="1:230" s="104" customFormat="1" ht="17.25" customHeight="1" x14ac:dyDescent="0.3">
      <c r="A14" s="272">
        <v>12</v>
      </c>
      <c r="B14" s="273">
        <v>2.2000000000000002</v>
      </c>
      <c r="C14" s="274">
        <v>3.7</v>
      </c>
      <c r="D14" s="274">
        <v>5</v>
      </c>
      <c r="E14" s="274">
        <v>6.1</v>
      </c>
      <c r="F14" s="274">
        <v>7.1</v>
      </c>
      <c r="G14" s="274">
        <v>8</v>
      </c>
      <c r="H14" s="274">
        <v>8.8000000000000007</v>
      </c>
      <c r="I14" s="274">
        <v>9.6</v>
      </c>
      <c r="J14" s="284">
        <v>10.3</v>
      </c>
      <c r="K14" s="284">
        <v>10.9</v>
      </c>
      <c r="L14" s="284">
        <v>11.5</v>
      </c>
      <c r="M14" s="284">
        <v>12</v>
      </c>
      <c r="N14" s="282">
        <f t="array" ref="N14:Z14">TRANSPOSE(M15:M27)</f>
        <v>12.5</v>
      </c>
      <c r="O14" s="282">
        <v>12.9</v>
      </c>
      <c r="P14" s="282">
        <v>13.3</v>
      </c>
      <c r="Q14" s="282">
        <v>13.7</v>
      </c>
      <c r="R14" s="282">
        <v>14</v>
      </c>
      <c r="S14" s="282">
        <v>14.3</v>
      </c>
      <c r="T14" s="282">
        <v>14.5</v>
      </c>
      <c r="U14" s="282">
        <v>14.7</v>
      </c>
      <c r="V14" s="282">
        <v>15.1</v>
      </c>
      <c r="W14" s="282">
        <v>15.4</v>
      </c>
      <c r="X14" s="282">
        <v>15.7</v>
      </c>
      <c r="Y14" s="282">
        <v>15.9</v>
      </c>
      <c r="Z14" s="283">
        <v>16</v>
      </c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</row>
    <row r="15" spans="1:230" ht="17.25" customHeight="1" x14ac:dyDescent="0.3">
      <c r="A15" s="277">
        <v>13</v>
      </c>
      <c r="B15" s="278">
        <v>2.2000000000000002</v>
      </c>
      <c r="C15" s="279">
        <v>3.8</v>
      </c>
      <c r="D15" s="279">
        <v>5.0999999999999996</v>
      </c>
      <c r="E15" s="279">
        <v>6.2</v>
      </c>
      <c r="F15" s="279">
        <v>7.2</v>
      </c>
      <c r="G15" s="279">
        <v>8.1999999999999993</v>
      </c>
      <c r="H15" s="279">
        <v>9.1</v>
      </c>
      <c r="I15" s="279">
        <v>9.9</v>
      </c>
      <c r="J15" s="285">
        <v>10.6</v>
      </c>
      <c r="K15" s="285">
        <v>11.3</v>
      </c>
      <c r="L15" s="285">
        <v>11.9</v>
      </c>
      <c r="M15" s="285">
        <v>12.5</v>
      </c>
      <c r="N15" s="285">
        <v>13</v>
      </c>
      <c r="O15" s="286">
        <f t="array" ref="O15:Z15">TRANSPOSE(N16:N27)</f>
        <v>13.5</v>
      </c>
      <c r="P15" s="286">
        <v>13.9</v>
      </c>
      <c r="Q15" s="286">
        <v>14.3</v>
      </c>
      <c r="R15" s="286">
        <v>14.7</v>
      </c>
      <c r="S15" s="286">
        <v>15</v>
      </c>
      <c r="T15" s="286">
        <v>15.3</v>
      </c>
      <c r="U15" s="286">
        <v>15.5</v>
      </c>
      <c r="V15" s="286">
        <v>16</v>
      </c>
      <c r="W15" s="286">
        <v>16.3</v>
      </c>
      <c r="X15" s="286">
        <v>16.600000000000001</v>
      </c>
      <c r="Y15" s="286">
        <v>16.8</v>
      </c>
      <c r="Z15" s="287">
        <v>17</v>
      </c>
    </row>
    <row r="16" spans="1:230" s="104" customFormat="1" ht="17.25" customHeight="1" x14ac:dyDescent="0.3">
      <c r="A16" s="272">
        <v>14</v>
      </c>
      <c r="B16" s="273">
        <v>2.2999999999999998</v>
      </c>
      <c r="C16" s="274">
        <v>3.8</v>
      </c>
      <c r="D16" s="274">
        <v>5.0999999999999996</v>
      </c>
      <c r="E16" s="274">
        <v>6.3</v>
      </c>
      <c r="F16" s="274">
        <v>7.4</v>
      </c>
      <c r="G16" s="274">
        <v>8.4</v>
      </c>
      <c r="H16" s="274">
        <v>9.3000000000000007</v>
      </c>
      <c r="I16" s="284">
        <v>10.1</v>
      </c>
      <c r="J16" s="284">
        <v>10.9</v>
      </c>
      <c r="K16" s="284">
        <v>11.6</v>
      </c>
      <c r="L16" s="284">
        <v>12.3</v>
      </c>
      <c r="M16" s="284">
        <v>12.9</v>
      </c>
      <c r="N16" s="284">
        <v>13.5</v>
      </c>
      <c r="O16" s="284">
        <v>14</v>
      </c>
      <c r="P16" s="282">
        <f t="array" ref="P16:Z16">TRANSPOSE(O17:O27)</f>
        <v>14.5</v>
      </c>
      <c r="Q16" s="282">
        <v>14.9</v>
      </c>
      <c r="R16" s="282">
        <v>15.3</v>
      </c>
      <c r="S16" s="282">
        <v>15.7</v>
      </c>
      <c r="T16" s="282">
        <v>16</v>
      </c>
      <c r="U16" s="282">
        <v>16.3</v>
      </c>
      <c r="V16" s="282">
        <v>16.8</v>
      </c>
      <c r="W16" s="282">
        <v>17.2</v>
      </c>
      <c r="X16" s="282">
        <v>17.5</v>
      </c>
      <c r="Y16" s="282">
        <v>17.8</v>
      </c>
      <c r="Z16" s="283">
        <v>18</v>
      </c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</row>
    <row r="17" spans="1:230" ht="17.25" customHeight="1" x14ac:dyDescent="0.3">
      <c r="A17" s="277">
        <v>15</v>
      </c>
      <c r="B17" s="278">
        <v>2.2999999999999998</v>
      </c>
      <c r="C17" s="279">
        <v>3.9</v>
      </c>
      <c r="D17" s="279">
        <v>5.2</v>
      </c>
      <c r="E17" s="279">
        <v>6.4</v>
      </c>
      <c r="F17" s="279">
        <v>7.5</v>
      </c>
      <c r="G17" s="279">
        <v>8.5</v>
      </c>
      <c r="H17" s="279">
        <v>9.5</v>
      </c>
      <c r="I17" s="285">
        <v>10.3</v>
      </c>
      <c r="J17" s="285">
        <v>11.2</v>
      </c>
      <c r="K17" s="285">
        <v>11.9</v>
      </c>
      <c r="L17" s="285">
        <v>12.6</v>
      </c>
      <c r="M17" s="285">
        <v>13.3</v>
      </c>
      <c r="N17" s="285">
        <v>13.9</v>
      </c>
      <c r="O17" s="285">
        <v>14.5</v>
      </c>
      <c r="P17" s="285">
        <v>15</v>
      </c>
      <c r="Q17" s="286">
        <f t="array" ref="Q17:Z17">TRANSPOSE(P18:P27)</f>
        <v>15.5</v>
      </c>
      <c r="R17" s="286">
        <v>15.9</v>
      </c>
      <c r="S17" s="286">
        <v>16.3</v>
      </c>
      <c r="T17" s="286">
        <v>16.7</v>
      </c>
      <c r="U17" s="286">
        <v>17</v>
      </c>
      <c r="V17" s="286">
        <v>17.600000000000001</v>
      </c>
      <c r="W17" s="286">
        <v>18</v>
      </c>
      <c r="X17" s="286">
        <v>18.399999999999999</v>
      </c>
      <c r="Y17" s="286">
        <v>18.7</v>
      </c>
      <c r="Z17" s="287">
        <v>18.899999999999999</v>
      </c>
    </row>
    <row r="18" spans="1:230" s="104" customFormat="1" ht="17.25" customHeight="1" x14ac:dyDescent="0.3">
      <c r="A18" s="272">
        <v>16</v>
      </c>
      <c r="B18" s="273">
        <v>2.2999999999999998</v>
      </c>
      <c r="C18" s="274">
        <v>3.9</v>
      </c>
      <c r="D18" s="274">
        <v>5.2</v>
      </c>
      <c r="E18" s="274">
        <v>6.5</v>
      </c>
      <c r="F18" s="274">
        <v>7.6</v>
      </c>
      <c r="G18" s="274">
        <v>8.6</v>
      </c>
      <c r="H18" s="274">
        <v>9.6</v>
      </c>
      <c r="I18" s="284">
        <v>10.5</v>
      </c>
      <c r="J18" s="284">
        <v>11.4</v>
      </c>
      <c r="K18" s="284">
        <v>12.2</v>
      </c>
      <c r="L18" s="284">
        <v>13</v>
      </c>
      <c r="M18" s="284">
        <v>13.7</v>
      </c>
      <c r="N18" s="284">
        <v>14.3</v>
      </c>
      <c r="O18" s="284">
        <v>14.9</v>
      </c>
      <c r="P18" s="284">
        <v>15.5</v>
      </c>
      <c r="Q18" s="284">
        <v>16</v>
      </c>
      <c r="R18" s="282">
        <f t="array" ref="R18:Z18">TRANSPOSE(Q19:Q27)</f>
        <v>16.5</v>
      </c>
      <c r="S18" s="282">
        <v>16.899999999999999</v>
      </c>
      <c r="T18" s="282">
        <v>17.3</v>
      </c>
      <c r="U18" s="282">
        <v>17.7</v>
      </c>
      <c r="V18" s="282">
        <v>18.3</v>
      </c>
      <c r="W18" s="282">
        <v>18.8</v>
      </c>
      <c r="X18" s="282">
        <v>19.2</v>
      </c>
      <c r="Y18" s="282">
        <v>19.600000000000001</v>
      </c>
      <c r="Z18" s="283">
        <v>19.899999999999999</v>
      </c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</row>
    <row r="19" spans="1:230" ht="17.25" customHeight="1" x14ac:dyDescent="0.3">
      <c r="A19" s="277">
        <v>17</v>
      </c>
      <c r="B19" s="278">
        <v>2.2999999999999998</v>
      </c>
      <c r="C19" s="279">
        <v>3.9</v>
      </c>
      <c r="D19" s="279">
        <v>5.3</v>
      </c>
      <c r="E19" s="279">
        <v>6.5</v>
      </c>
      <c r="F19" s="279">
        <v>7.7</v>
      </c>
      <c r="G19" s="279">
        <v>8.8000000000000007</v>
      </c>
      <c r="H19" s="279">
        <v>9.8000000000000007</v>
      </c>
      <c r="I19" s="285">
        <v>10.7</v>
      </c>
      <c r="J19" s="285">
        <v>11.6</v>
      </c>
      <c r="K19" s="285">
        <v>12.4</v>
      </c>
      <c r="L19" s="285">
        <v>13.2</v>
      </c>
      <c r="M19" s="285">
        <v>14</v>
      </c>
      <c r="N19" s="285">
        <v>14.7</v>
      </c>
      <c r="O19" s="285">
        <v>15.3</v>
      </c>
      <c r="P19" s="285">
        <v>15.9</v>
      </c>
      <c r="Q19" s="285">
        <v>16.5</v>
      </c>
      <c r="R19" s="285">
        <v>17</v>
      </c>
      <c r="S19" s="286">
        <f t="array" ref="S19:Z19">TRANSPOSE(R20:R27)</f>
        <v>17.5</v>
      </c>
      <c r="T19" s="286">
        <v>17.899999999999999</v>
      </c>
      <c r="U19" s="286">
        <v>18.3</v>
      </c>
      <c r="V19" s="286">
        <v>19</v>
      </c>
      <c r="W19" s="286">
        <v>19.600000000000001</v>
      </c>
      <c r="X19" s="286">
        <v>20.100000000000001</v>
      </c>
      <c r="Y19" s="286">
        <v>20.5</v>
      </c>
      <c r="Z19" s="287">
        <v>20.8</v>
      </c>
    </row>
    <row r="20" spans="1:230" s="104" customFormat="1" ht="17.25" customHeight="1" x14ac:dyDescent="0.3">
      <c r="A20" s="272">
        <v>18</v>
      </c>
      <c r="B20" s="273">
        <v>2.2999999999999998</v>
      </c>
      <c r="C20" s="274">
        <v>4</v>
      </c>
      <c r="D20" s="274">
        <v>5.3</v>
      </c>
      <c r="E20" s="274">
        <v>6.6</v>
      </c>
      <c r="F20" s="274">
        <v>7.8</v>
      </c>
      <c r="G20" s="274">
        <v>8.9</v>
      </c>
      <c r="H20" s="274">
        <v>9.9</v>
      </c>
      <c r="I20" s="284">
        <v>10.8</v>
      </c>
      <c r="J20" s="284">
        <v>11.8</v>
      </c>
      <c r="K20" s="284">
        <v>12.7</v>
      </c>
      <c r="L20" s="284">
        <v>13.5</v>
      </c>
      <c r="M20" s="284">
        <v>14.3</v>
      </c>
      <c r="N20" s="284">
        <v>15</v>
      </c>
      <c r="O20" s="284">
        <v>15.7</v>
      </c>
      <c r="P20" s="284">
        <v>16.3</v>
      </c>
      <c r="Q20" s="284">
        <v>16.899999999999999</v>
      </c>
      <c r="R20" s="284">
        <v>17.5</v>
      </c>
      <c r="S20" s="284">
        <v>18</v>
      </c>
      <c r="T20" s="282">
        <f t="array" ref="T20:Z20">TRANSPOSE(S21:S27)</f>
        <v>18.5</v>
      </c>
      <c r="U20" s="282">
        <v>18.899999999999999</v>
      </c>
      <c r="V20" s="282">
        <v>19.7</v>
      </c>
      <c r="W20" s="282">
        <v>20.3</v>
      </c>
      <c r="X20" s="282">
        <v>20.9</v>
      </c>
      <c r="Y20" s="282">
        <v>21.3</v>
      </c>
      <c r="Z20" s="283">
        <v>21.7</v>
      </c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</row>
    <row r="21" spans="1:230" ht="17.25" customHeight="1" x14ac:dyDescent="0.3">
      <c r="A21" s="277">
        <v>19</v>
      </c>
      <c r="B21" s="278">
        <v>2.2999999999999998</v>
      </c>
      <c r="C21" s="279">
        <v>4</v>
      </c>
      <c r="D21" s="279">
        <v>5.4</v>
      </c>
      <c r="E21" s="279">
        <v>6.6</v>
      </c>
      <c r="F21" s="279">
        <v>7.8</v>
      </c>
      <c r="G21" s="279">
        <v>8.9</v>
      </c>
      <c r="H21" s="285">
        <v>10</v>
      </c>
      <c r="I21" s="285">
        <v>11</v>
      </c>
      <c r="J21" s="285">
        <v>11.9</v>
      </c>
      <c r="K21" s="285">
        <v>12.8</v>
      </c>
      <c r="L21" s="285">
        <v>13.7</v>
      </c>
      <c r="M21" s="285">
        <v>14.5</v>
      </c>
      <c r="N21" s="285">
        <v>15.3</v>
      </c>
      <c r="O21" s="285">
        <v>16</v>
      </c>
      <c r="P21" s="285">
        <v>16.7</v>
      </c>
      <c r="Q21" s="285">
        <v>17.3</v>
      </c>
      <c r="R21" s="285">
        <v>17.899999999999999</v>
      </c>
      <c r="S21" s="285">
        <v>18.5</v>
      </c>
      <c r="T21" s="285">
        <v>19</v>
      </c>
      <c r="U21" s="286">
        <f t="array" ref="U21:Z21">TRANSPOSE(T22:T27)</f>
        <v>19.5</v>
      </c>
      <c r="V21" s="286">
        <v>20.3</v>
      </c>
      <c r="W21" s="286">
        <v>21</v>
      </c>
      <c r="X21" s="286">
        <v>21.6</v>
      </c>
      <c r="Y21" s="286">
        <v>22.1</v>
      </c>
      <c r="Z21" s="287">
        <v>22.5</v>
      </c>
    </row>
    <row r="22" spans="1:230" s="104" customFormat="1" ht="17.25" customHeight="1" x14ac:dyDescent="0.3">
      <c r="A22" s="272">
        <v>20</v>
      </c>
      <c r="B22" s="273">
        <v>2.2999999999999998</v>
      </c>
      <c r="C22" s="274">
        <v>4</v>
      </c>
      <c r="D22" s="274">
        <v>5.4</v>
      </c>
      <c r="E22" s="274">
        <v>6.7</v>
      </c>
      <c r="F22" s="274">
        <v>7.9</v>
      </c>
      <c r="G22" s="274">
        <v>9</v>
      </c>
      <c r="H22" s="284">
        <v>10.1</v>
      </c>
      <c r="I22" s="284">
        <v>11.1</v>
      </c>
      <c r="J22" s="284">
        <v>12.1</v>
      </c>
      <c r="K22" s="284">
        <v>13</v>
      </c>
      <c r="L22" s="284">
        <v>13.9</v>
      </c>
      <c r="M22" s="284">
        <v>14.7</v>
      </c>
      <c r="N22" s="284">
        <v>15.5</v>
      </c>
      <c r="O22" s="284">
        <v>16.3</v>
      </c>
      <c r="P22" s="284">
        <v>17</v>
      </c>
      <c r="Q22" s="284">
        <v>17.7</v>
      </c>
      <c r="R22" s="284">
        <v>18.3</v>
      </c>
      <c r="S22" s="284">
        <v>18.899999999999999</v>
      </c>
      <c r="T22" s="284">
        <v>19.5</v>
      </c>
      <c r="U22" s="284">
        <v>20</v>
      </c>
      <c r="V22" s="282">
        <f t="array" ref="V22:Z22">TRANSPOSE(U23:U27)</f>
        <v>20.9</v>
      </c>
      <c r="W22" s="282">
        <v>21.7</v>
      </c>
      <c r="X22" s="282">
        <v>22.4</v>
      </c>
      <c r="Y22" s="282">
        <v>22.9</v>
      </c>
      <c r="Z22" s="283">
        <v>23.3</v>
      </c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</row>
    <row r="23" spans="1:230" ht="17.25" customHeight="1" x14ac:dyDescent="0.3">
      <c r="A23" s="277">
        <v>22</v>
      </c>
      <c r="B23" s="278">
        <v>2.2999999999999998</v>
      </c>
      <c r="C23" s="279">
        <v>4</v>
      </c>
      <c r="D23" s="279">
        <v>5.5</v>
      </c>
      <c r="E23" s="279">
        <v>6.8</v>
      </c>
      <c r="F23" s="279">
        <v>8</v>
      </c>
      <c r="G23" s="279">
        <v>9.1</v>
      </c>
      <c r="H23" s="285">
        <v>10.3</v>
      </c>
      <c r="I23" s="285">
        <v>11.3</v>
      </c>
      <c r="J23" s="285">
        <v>12.3</v>
      </c>
      <c r="K23" s="285">
        <v>13.3</v>
      </c>
      <c r="L23" s="285">
        <v>14.2</v>
      </c>
      <c r="M23" s="285">
        <v>15.1</v>
      </c>
      <c r="N23" s="285">
        <v>16</v>
      </c>
      <c r="O23" s="285">
        <v>16.8</v>
      </c>
      <c r="P23" s="285">
        <v>17.600000000000001</v>
      </c>
      <c r="Q23" s="285">
        <v>18.3</v>
      </c>
      <c r="R23" s="285">
        <v>19</v>
      </c>
      <c r="S23" s="285">
        <v>19.7</v>
      </c>
      <c r="T23" s="285">
        <v>20.3</v>
      </c>
      <c r="U23" s="285">
        <v>20.9</v>
      </c>
      <c r="V23" s="285">
        <v>22</v>
      </c>
      <c r="W23" s="286">
        <f t="array" ref="W23:Z23">TRANSPOSE(V24:V27)</f>
        <v>22.9</v>
      </c>
      <c r="X23" s="286">
        <v>23.7</v>
      </c>
      <c r="Y23" s="286">
        <v>24.4</v>
      </c>
      <c r="Z23" s="287">
        <v>24.9</v>
      </c>
    </row>
    <row r="24" spans="1:230" s="104" customFormat="1" ht="17.25" customHeight="1" x14ac:dyDescent="0.3">
      <c r="A24" s="272">
        <v>24</v>
      </c>
      <c r="B24" s="273">
        <v>2.4</v>
      </c>
      <c r="C24" s="274">
        <v>4.0999999999999996</v>
      </c>
      <c r="D24" s="274">
        <v>5.5</v>
      </c>
      <c r="E24" s="274">
        <v>6.8</v>
      </c>
      <c r="F24" s="274">
        <v>8.1</v>
      </c>
      <c r="G24" s="274">
        <v>9.1999999999999993</v>
      </c>
      <c r="H24" s="284">
        <v>10.4</v>
      </c>
      <c r="I24" s="284">
        <v>11.5</v>
      </c>
      <c r="J24" s="284">
        <v>12.5</v>
      </c>
      <c r="K24" s="284">
        <v>13.5</v>
      </c>
      <c r="L24" s="284">
        <v>14.5</v>
      </c>
      <c r="M24" s="284">
        <v>15.4</v>
      </c>
      <c r="N24" s="284">
        <v>16.3</v>
      </c>
      <c r="O24" s="284">
        <v>17.2</v>
      </c>
      <c r="P24" s="284">
        <v>18</v>
      </c>
      <c r="Q24" s="284">
        <v>18.8</v>
      </c>
      <c r="R24" s="284">
        <v>19.600000000000001</v>
      </c>
      <c r="S24" s="284">
        <v>20.3</v>
      </c>
      <c r="T24" s="284">
        <v>21</v>
      </c>
      <c r="U24" s="284">
        <v>21.7</v>
      </c>
      <c r="V24" s="284">
        <v>22.9</v>
      </c>
      <c r="W24" s="284">
        <v>24</v>
      </c>
      <c r="X24" s="282">
        <f t="array" ref="X24:Z24">TRANSPOSE(W25:W27)</f>
        <v>24.9</v>
      </c>
      <c r="Y24" s="282">
        <v>25.7</v>
      </c>
      <c r="Z24" s="283">
        <v>26.4</v>
      </c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</row>
    <row r="25" spans="1:230" ht="17.25" customHeight="1" x14ac:dyDescent="0.3">
      <c r="A25" s="277">
        <v>26</v>
      </c>
      <c r="B25" s="278">
        <v>2.4</v>
      </c>
      <c r="C25" s="279">
        <v>4.0999999999999996</v>
      </c>
      <c r="D25" s="279">
        <v>5.5</v>
      </c>
      <c r="E25" s="279">
        <v>6.9</v>
      </c>
      <c r="F25" s="279">
        <v>8.1</v>
      </c>
      <c r="G25" s="279">
        <v>9.3000000000000007</v>
      </c>
      <c r="H25" s="285">
        <v>10.5</v>
      </c>
      <c r="I25" s="285">
        <v>11.6</v>
      </c>
      <c r="J25" s="285">
        <v>12.6</v>
      </c>
      <c r="K25" s="285">
        <v>13.7</v>
      </c>
      <c r="L25" s="285">
        <v>14.7</v>
      </c>
      <c r="M25" s="285">
        <v>15.7</v>
      </c>
      <c r="N25" s="285">
        <v>16.600000000000001</v>
      </c>
      <c r="O25" s="285">
        <v>17.5</v>
      </c>
      <c r="P25" s="285">
        <v>18.399999999999999</v>
      </c>
      <c r="Q25" s="285">
        <v>19.2</v>
      </c>
      <c r="R25" s="285">
        <v>20.100000000000001</v>
      </c>
      <c r="S25" s="285">
        <v>20.9</v>
      </c>
      <c r="T25" s="285">
        <v>21.6</v>
      </c>
      <c r="U25" s="285">
        <v>22.4</v>
      </c>
      <c r="V25" s="285">
        <v>23.7</v>
      </c>
      <c r="W25" s="285">
        <v>24.9</v>
      </c>
      <c r="X25" s="285">
        <v>26</v>
      </c>
      <c r="Y25" s="286">
        <f t="array" ref="Y25:Z25">TRANSPOSE(X26:X27)</f>
        <v>27</v>
      </c>
      <c r="Z25" s="287">
        <v>27.7</v>
      </c>
    </row>
    <row r="26" spans="1:230" s="104" customFormat="1" ht="17.25" customHeight="1" x14ac:dyDescent="0.3">
      <c r="A26" s="272">
        <v>28</v>
      </c>
      <c r="B26" s="273">
        <v>2.4</v>
      </c>
      <c r="C26" s="274">
        <v>4.0999999999999996</v>
      </c>
      <c r="D26" s="274">
        <v>5.6</v>
      </c>
      <c r="E26" s="274">
        <v>6.9</v>
      </c>
      <c r="F26" s="274">
        <v>8.1999999999999993</v>
      </c>
      <c r="G26" s="274">
        <v>9.4</v>
      </c>
      <c r="H26" s="284">
        <v>10.5</v>
      </c>
      <c r="I26" s="284">
        <v>11.7</v>
      </c>
      <c r="J26" s="284">
        <v>12.8</v>
      </c>
      <c r="K26" s="284">
        <v>13.8</v>
      </c>
      <c r="L26" s="284">
        <v>14.8</v>
      </c>
      <c r="M26" s="284">
        <v>15.9</v>
      </c>
      <c r="N26" s="284">
        <v>16.8</v>
      </c>
      <c r="O26" s="284">
        <v>17.8</v>
      </c>
      <c r="P26" s="284">
        <v>18.7</v>
      </c>
      <c r="Q26" s="284">
        <v>19.600000000000001</v>
      </c>
      <c r="R26" s="284">
        <v>20.5</v>
      </c>
      <c r="S26" s="284">
        <v>21.3</v>
      </c>
      <c r="T26" s="284">
        <v>22.1</v>
      </c>
      <c r="U26" s="284">
        <v>22.9</v>
      </c>
      <c r="V26" s="284">
        <v>24.4</v>
      </c>
      <c r="W26" s="284">
        <v>25.7</v>
      </c>
      <c r="X26" s="284">
        <v>27</v>
      </c>
      <c r="Y26" s="284">
        <v>28</v>
      </c>
      <c r="Z26" s="283">
        <f>Y27</f>
        <v>29</v>
      </c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79"/>
      <c r="CZ26" s="79"/>
      <c r="DA26" s="79"/>
      <c r="DB26" s="79"/>
      <c r="DC26" s="79"/>
      <c r="DD26" s="79"/>
      <c r="DE26" s="79"/>
      <c r="DF26" s="79"/>
      <c r="DG26" s="79"/>
      <c r="DH26" s="79"/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9"/>
      <c r="DZ26" s="79"/>
      <c r="EA26" s="79"/>
      <c r="EB26" s="79"/>
      <c r="EC26" s="79"/>
      <c r="ED26" s="79"/>
      <c r="EE26" s="79"/>
      <c r="EF26" s="79"/>
      <c r="EG26" s="79"/>
      <c r="EH26" s="79"/>
      <c r="EI26" s="79"/>
      <c r="EJ26" s="79"/>
      <c r="EK26" s="79"/>
      <c r="EL26" s="79"/>
      <c r="EM26" s="79"/>
      <c r="EN26" s="79"/>
      <c r="EO26" s="79"/>
      <c r="EP26" s="79"/>
      <c r="EQ26" s="79"/>
      <c r="ER26" s="79"/>
      <c r="ES26" s="79"/>
      <c r="ET26" s="79"/>
      <c r="EU26" s="79"/>
      <c r="EV26" s="79"/>
      <c r="EW26" s="79"/>
      <c r="EX26" s="79"/>
      <c r="EY26" s="79"/>
      <c r="EZ26" s="79"/>
      <c r="FA26" s="79"/>
      <c r="FB26" s="79"/>
      <c r="FC26" s="79"/>
      <c r="FD26" s="79"/>
      <c r="FE26" s="79"/>
      <c r="FF26" s="79"/>
      <c r="FG26" s="79"/>
      <c r="FH26" s="79"/>
      <c r="FI26" s="79"/>
      <c r="FJ26" s="79"/>
      <c r="FK26" s="79"/>
      <c r="FL26" s="79"/>
      <c r="FM26" s="79"/>
      <c r="FN26" s="79"/>
      <c r="FO26" s="79"/>
      <c r="FP26" s="79"/>
      <c r="FQ26" s="79"/>
      <c r="FR26" s="79"/>
      <c r="FS26" s="79"/>
      <c r="FT26" s="79"/>
      <c r="FU26" s="79"/>
      <c r="FV26" s="79"/>
      <c r="FW26" s="79"/>
      <c r="FX26" s="79"/>
      <c r="FY26" s="79"/>
      <c r="FZ26" s="79"/>
      <c r="GA26" s="79"/>
      <c r="GB26" s="79"/>
      <c r="GC26" s="79"/>
      <c r="GD26" s="79"/>
      <c r="GE26" s="79"/>
      <c r="GF26" s="79"/>
      <c r="GG26" s="79"/>
      <c r="GH26" s="79"/>
      <c r="GI26" s="79"/>
      <c r="GJ26" s="79"/>
      <c r="GK26" s="79"/>
      <c r="GL26" s="79"/>
      <c r="GM26" s="79"/>
      <c r="GN26" s="79"/>
      <c r="GO26" s="79"/>
      <c r="GP26" s="79"/>
      <c r="GQ26" s="79"/>
      <c r="GR26" s="79"/>
      <c r="GS26" s="79"/>
      <c r="GT26" s="79"/>
      <c r="GU26" s="79"/>
      <c r="GV26" s="79"/>
      <c r="GW26" s="79"/>
      <c r="GX26" s="79"/>
      <c r="GY26" s="79"/>
      <c r="GZ26" s="79"/>
      <c r="HA26" s="79"/>
      <c r="HB26" s="79"/>
      <c r="HC26" s="79"/>
      <c r="HD26" s="79"/>
      <c r="HE26" s="79"/>
      <c r="HF26" s="79"/>
      <c r="HG26" s="79"/>
      <c r="HH26" s="79"/>
      <c r="HI26" s="79"/>
      <c r="HJ26" s="79"/>
      <c r="HK26" s="79"/>
      <c r="HL26" s="79"/>
      <c r="HM26" s="79"/>
      <c r="HN26" s="79"/>
      <c r="HO26" s="79"/>
      <c r="HP26" s="79"/>
      <c r="HQ26" s="79"/>
      <c r="HR26" s="79"/>
      <c r="HS26" s="79"/>
      <c r="HT26" s="79"/>
      <c r="HU26" s="79"/>
      <c r="HV26" s="79"/>
    </row>
    <row r="27" spans="1:230" s="36" customFormat="1" ht="17.25" customHeight="1" x14ac:dyDescent="0.3">
      <c r="A27" s="277">
        <v>30</v>
      </c>
      <c r="B27" s="278">
        <v>2.4</v>
      </c>
      <c r="C27" s="279">
        <v>4.0999999999999996</v>
      </c>
      <c r="D27" s="279">
        <v>5.6</v>
      </c>
      <c r="E27" s="279">
        <v>6.9</v>
      </c>
      <c r="F27" s="279">
        <v>8.1999999999999993</v>
      </c>
      <c r="G27" s="279">
        <v>9.4</v>
      </c>
      <c r="H27" s="285">
        <v>10.6</v>
      </c>
      <c r="I27" s="285">
        <v>11.7</v>
      </c>
      <c r="J27" s="285">
        <v>12.8</v>
      </c>
      <c r="K27" s="285">
        <v>13.9</v>
      </c>
      <c r="L27" s="285">
        <v>15</v>
      </c>
      <c r="M27" s="285">
        <v>16</v>
      </c>
      <c r="N27" s="285">
        <v>17</v>
      </c>
      <c r="O27" s="285">
        <v>18</v>
      </c>
      <c r="P27" s="285">
        <v>18.899999999999999</v>
      </c>
      <c r="Q27" s="285">
        <v>19.899999999999999</v>
      </c>
      <c r="R27" s="285">
        <v>20.8</v>
      </c>
      <c r="S27" s="285">
        <v>21.7</v>
      </c>
      <c r="T27" s="285">
        <v>22.5</v>
      </c>
      <c r="U27" s="285">
        <v>23.3</v>
      </c>
      <c r="V27" s="285">
        <v>24.9</v>
      </c>
      <c r="W27" s="285">
        <v>26.4</v>
      </c>
      <c r="X27" s="285">
        <v>27.7</v>
      </c>
      <c r="Y27" s="285">
        <v>29</v>
      </c>
      <c r="Z27" s="288">
        <v>30</v>
      </c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80"/>
      <c r="CF27" s="80"/>
      <c r="CG27" s="80"/>
      <c r="CH27" s="80"/>
      <c r="CI27" s="80"/>
      <c r="CJ27" s="80"/>
      <c r="CK27" s="80"/>
      <c r="CL27" s="80"/>
      <c r="CM27" s="80"/>
      <c r="CN27" s="80"/>
      <c r="CO27" s="80"/>
      <c r="CP27" s="80"/>
      <c r="CQ27" s="80"/>
      <c r="CR27" s="80"/>
      <c r="CS27" s="80"/>
      <c r="CT27" s="80"/>
      <c r="CU27" s="80"/>
      <c r="CV27" s="80"/>
      <c r="CW27" s="80"/>
      <c r="CX27" s="80"/>
      <c r="CY27" s="80"/>
      <c r="CZ27" s="80"/>
      <c r="DA27" s="80"/>
      <c r="DB27" s="80"/>
      <c r="DC27" s="80"/>
      <c r="DD27" s="80"/>
      <c r="DE27" s="80"/>
      <c r="DF27" s="80"/>
      <c r="DG27" s="80"/>
      <c r="DH27" s="80"/>
      <c r="DI27" s="80"/>
      <c r="DJ27" s="80"/>
      <c r="DK27" s="80"/>
      <c r="DL27" s="80"/>
      <c r="DM27" s="80"/>
      <c r="DN27" s="80"/>
      <c r="DO27" s="80"/>
      <c r="DP27" s="80"/>
      <c r="DQ27" s="80"/>
      <c r="DR27" s="80"/>
      <c r="DS27" s="80"/>
      <c r="DT27" s="80"/>
      <c r="DU27" s="80"/>
      <c r="DV27" s="80"/>
      <c r="DW27" s="80"/>
      <c r="DX27" s="80"/>
      <c r="DY27" s="80"/>
      <c r="DZ27" s="80"/>
      <c r="EA27" s="80"/>
      <c r="EB27" s="80"/>
      <c r="EC27" s="80"/>
      <c r="ED27" s="80"/>
      <c r="EE27" s="80"/>
      <c r="EF27" s="80"/>
      <c r="EG27" s="80"/>
      <c r="EH27" s="80"/>
      <c r="EI27" s="80"/>
      <c r="EJ27" s="80"/>
      <c r="EK27" s="80"/>
      <c r="EL27" s="80"/>
      <c r="EM27" s="80"/>
      <c r="EN27" s="80"/>
      <c r="EO27" s="80"/>
      <c r="EP27" s="80"/>
      <c r="EQ27" s="80"/>
      <c r="ER27" s="80"/>
      <c r="ES27" s="80"/>
      <c r="ET27" s="80"/>
      <c r="EU27" s="80"/>
      <c r="EV27" s="80"/>
      <c r="EW27" s="80"/>
      <c r="EX27" s="80"/>
      <c r="EY27" s="80"/>
      <c r="EZ27" s="80"/>
      <c r="FA27" s="80"/>
      <c r="FB27" s="80"/>
      <c r="FC27" s="80"/>
      <c r="FD27" s="80"/>
      <c r="FE27" s="80"/>
      <c r="FF27" s="80"/>
      <c r="FG27" s="80"/>
      <c r="FH27" s="80"/>
      <c r="FI27" s="80"/>
      <c r="FJ27" s="80"/>
      <c r="FK27" s="80"/>
      <c r="FL27" s="80"/>
      <c r="FM27" s="80"/>
      <c r="FN27" s="80"/>
      <c r="FO27" s="80"/>
      <c r="FP27" s="80"/>
      <c r="FQ27" s="80"/>
      <c r="FR27" s="80"/>
      <c r="FS27" s="80"/>
      <c r="FT27" s="80"/>
      <c r="FU27" s="80"/>
      <c r="FV27" s="80"/>
      <c r="FW27" s="80"/>
      <c r="FX27" s="80"/>
      <c r="FY27" s="80"/>
      <c r="FZ27" s="80"/>
      <c r="GA27" s="80"/>
      <c r="GB27" s="80"/>
      <c r="GC27" s="80"/>
      <c r="GD27" s="80"/>
      <c r="GE27" s="80"/>
      <c r="GF27" s="80"/>
      <c r="GG27" s="80"/>
      <c r="GH27" s="80"/>
      <c r="GI27" s="80"/>
      <c r="GJ27" s="80"/>
      <c r="GK27" s="80"/>
      <c r="GL27" s="80"/>
      <c r="GM27" s="80"/>
      <c r="GN27" s="80"/>
      <c r="GO27" s="80"/>
      <c r="GP27" s="80"/>
      <c r="GQ27" s="80"/>
      <c r="GR27" s="80"/>
      <c r="GS27" s="80"/>
      <c r="GT27" s="80"/>
      <c r="GU27" s="80"/>
      <c r="GV27" s="80"/>
      <c r="GW27" s="80"/>
      <c r="GX27" s="80"/>
      <c r="GY27" s="80"/>
      <c r="GZ27" s="80"/>
      <c r="HA27" s="80"/>
      <c r="HB27" s="80"/>
      <c r="HC27" s="80"/>
      <c r="HD27" s="80"/>
      <c r="HE27" s="80"/>
      <c r="HF27" s="80"/>
      <c r="HG27" s="80"/>
      <c r="HH27" s="80"/>
      <c r="HI27" s="80"/>
      <c r="HJ27" s="80"/>
      <c r="HK27" s="80"/>
      <c r="HL27" s="80"/>
      <c r="HM27" s="80"/>
      <c r="HN27" s="80"/>
      <c r="HO27" s="80"/>
      <c r="HP27" s="80"/>
      <c r="HQ27" s="80"/>
      <c r="HR27" s="80"/>
      <c r="HS27" s="80"/>
      <c r="HT27" s="80"/>
      <c r="HU27" s="80"/>
      <c r="HV27" s="80"/>
    </row>
    <row r="28" spans="1:230" s="36" customFormat="1" ht="17.25" customHeight="1" x14ac:dyDescent="0.3">
      <c r="A28" s="33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69"/>
      <c r="M28" s="69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5"/>
      <c r="Y28" s="5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80"/>
      <c r="CF28" s="80"/>
      <c r="CG28" s="80"/>
      <c r="CH28" s="80"/>
      <c r="CI28" s="80"/>
      <c r="CJ28" s="80"/>
      <c r="CK28" s="80"/>
      <c r="CL28" s="80"/>
      <c r="CM28" s="80"/>
      <c r="CN28" s="80"/>
      <c r="CO28" s="80"/>
      <c r="CP28" s="80"/>
      <c r="CQ28" s="80"/>
      <c r="CR28" s="80"/>
      <c r="CS28" s="80"/>
      <c r="CT28" s="80"/>
      <c r="CU28" s="80"/>
      <c r="CV28" s="80"/>
      <c r="CW28" s="80"/>
      <c r="CX28" s="80"/>
      <c r="CY28" s="80"/>
      <c r="CZ28" s="80"/>
      <c r="DA28" s="80"/>
      <c r="DB28" s="80"/>
      <c r="DC28" s="80"/>
      <c r="DD28" s="80"/>
      <c r="DE28" s="80"/>
      <c r="DF28" s="80"/>
      <c r="DG28" s="80"/>
      <c r="DH28" s="80"/>
      <c r="DI28" s="80"/>
      <c r="DJ28" s="80"/>
      <c r="DK28" s="80"/>
      <c r="DL28" s="80"/>
      <c r="DM28" s="80"/>
      <c r="DN28" s="80"/>
      <c r="DO28" s="80"/>
      <c r="DP28" s="80"/>
      <c r="DQ28" s="80"/>
      <c r="DR28" s="80"/>
      <c r="DS28" s="80"/>
      <c r="DT28" s="80"/>
      <c r="DU28" s="80"/>
      <c r="DV28" s="80"/>
      <c r="DW28" s="80"/>
      <c r="DX28" s="80"/>
      <c r="DY28" s="80"/>
      <c r="DZ28" s="80"/>
      <c r="EA28" s="80"/>
      <c r="EB28" s="80"/>
      <c r="EC28" s="80"/>
      <c r="ED28" s="80"/>
      <c r="EE28" s="80"/>
      <c r="EF28" s="80"/>
      <c r="EG28" s="80"/>
      <c r="EH28" s="80"/>
      <c r="EI28" s="80"/>
      <c r="EJ28" s="80"/>
      <c r="EK28" s="80"/>
      <c r="EL28" s="80"/>
      <c r="EM28" s="80"/>
      <c r="EN28" s="80"/>
      <c r="EO28" s="80"/>
      <c r="EP28" s="80"/>
      <c r="EQ28" s="80"/>
      <c r="ER28" s="80"/>
      <c r="ES28" s="80"/>
      <c r="ET28" s="80"/>
      <c r="EU28" s="80"/>
      <c r="EV28" s="80"/>
      <c r="EW28" s="80"/>
      <c r="EX28" s="80"/>
      <c r="EY28" s="80"/>
      <c r="EZ28" s="80"/>
      <c r="FA28" s="80"/>
      <c r="FB28" s="80"/>
      <c r="FC28" s="80"/>
      <c r="FD28" s="80"/>
      <c r="FE28" s="80"/>
      <c r="FF28" s="80"/>
      <c r="FG28" s="80"/>
      <c r="FH28" s="80"/>
      <c r="FI28" s="80"/>
      <c r="FJ28" s="80"/>
      <c r="FK28" s="80"/>
      <c r="FL28" s="80"/>
      <c r="FM28" s="80"/>
      <c r="FN28" s="80"/>
      <c r="FO28" s="80"/>
      <c r="FP28" s="80"/>
      <c r="FQ28" s="80"/>
      <c r="FR28" s="80"/>
      <c r="FS28" s="80"/>
      <c r="FT28" s="80"/>
      <c r="FU28" s="80"/>
      <c r="FV28" s="80"/>
      <c r="FW28" s="80"/>
      <c r="FX28" s="80"/>
      <c r="FY28" s="80"/>
      <c r="FZ28" s="80"/>
      <c r="GA28" s="80"/>
      <c r="GB28" s="80"/>
      <c r="GC28" s="80"/>
      <c r="GD28" s="80"/>
      <c r="GE28" s="80"/>
      <c r="GF28" s="80"/>
      <c r="GG28" s="80"/>
      <c r="GH28" s="80"/>
      <c r="GI28" s="80"/>
      <c r="GJ28" s="80"/>
      <c r="GK28" s="80"/>
      <c r="GL28" s="80"/>
      <c r="GM28" s="80"/>
      <c r="GN28" s="80"/>
      <c r="GO28" s="80"/>
      <c r="GP28" s="80"/>
      <c r="GQ28" s="80"/>
      <c r="GR28" s="80"/>
      <c r="GS28" s="80"/>
      <c r="GT28" s="80"/>
      <c r="GU28" s="80"/>
      <c r="GV28" s="80"/>
      <c r="GW28" s="80"/>
      <c r="GX28" s="80"/>
      <c r="GY28" s="80"/>
      <c r="GZ28" s="80"/>
      <c r="HA28" s="80"/>
      <c r="HB28" s="80"/>
      <c r="HC28" s="80"/>
      <c r="HD28" s="80"/>
      <c r="HE28" s="80"/>
      <c r="HF28" s="80"/>
      <c r="HG28" s="80"/>
      <c r="HH28" s="80"/>
      <c r="HI28" s="80"/>
      <c r="HJ28" s="80"/>
      <c r="HK28" s="80"/>
      <c r="HL28" s="80"/>
      <c r="HM28" s="80"/>
      <c r="HN28" s="80"/>
      <c r="HO28" s="80"/>
      <c r="HP28" s="80"/>
      <c r="HQ28" s="80"/>
      <c r="HR28" s="80"/>
      <c r="HS28" s="80"/>
      <c r="HT28" s="80"/>
      <c r="HU28" s="80"/>
      <c r="HV28" s="80"/>
    </row>
    <row r="29" spans="1:230" s="36" customFormat="1" ht="17.25" customHeight="1" x14ac:dyDescent="0.3">
      <c r="A29" s="33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69"/>
      <c r="M29" s="69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5"/>
      <c r="Y29" s="5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80"/>
      <c r="CF29" s="80"/>
      <c r="CG29" s="80"/>
      <c r="CH29" s="80"/>
      <c r="CI29" s="80"/>
      <c r="CJ29" s="80"/>
      <c r="CK29" s="80"/>
      <c r="CL29" s="80"/>
      <c r="CM29" s="80"/>
      <c r="CN29" s="80"/>
      <c r="CO29" s="80"/>
      <c r="CP29" s="80"/>
      <c r="CQ29" s="80"/>
      <c r="CR29" s="80"/>
      <c r="CS29" s="80"/>
      <c r="CT29" s="80"/>
      <c r="CU29" s="80"/>
      <c r="CV29" s="80"/>
      <c r="CW29" s="80"/>
      <c r="CX29" s="80"/>
      <c r="CY29" s="80"/>
      <c r="CZ29" s="80"/>
      <c r="DA29" s="80"/>
      <c r="DB29" s="80"/>
      <c r="DC29" s="80"/>
      <c r="DD29" s="80"/>
      <c r="DE29" s="80"/>
      <c r="DF29" s="80"/>
      <c r="DG29" s="80"/>
      <c r="DH29" s="80"/>
      <c r="DI29" s="80"/>
      <c r="DJ29" s="80"/>
      <c r="DK29" s="80"/>
      <c r="DL29" s="80"/>
      <c r="DM29" s="80"/>
      <c r="DN29" s="80"/>
      <c r="DO29" s="80"/>
      <c r="DP29" s="80"/>
      <c r="DQ29" s="80"/>
      <c r="DR29" s="80"/>
      <c r="DS29" s="80"/>
      <c r="DT29" s="80"/>
      <c r="DU29" s="80"/>
      <c r="DV29" s="80"/>
      <c r="DW29" s="80"/>
      <c r="DX29" s="80"/>
      <c r="DY29" s="80"/>
      <c r="DZ29" s="80"/>
      <c r="EA29" s="80"/>
      <c r="EB29" s="80"/>
      <c r="EC29" s="80"/>
      <c r="ED29" s="80"/>
      <c r="EE29" s="80"/>
      <c r="EF29" s="80"/>
      <c r="EG29" s="80"/>
      <c r="EH29" s="80"/>
      <c r="EI29" s="80"/>
      <c r="EJ29" s="80"/>
      <c r="EK29" s="80"/>
      <c r="EL29" s="80"/>
      <c r="EM29" s="80"/>
      <c r="EN29" s="80"/>
      <c r="EO29" s="80"/>
      <c r="EP29" s="80"/>
      <c r="EQ29" s="80"/>
      <c r="ER29" s="80"/>
      <c r="ES29" s="80"/>
      <c r="ET29" s="80"/>
      <c r="EU29" s="80"/>
      <c r="EV29" s="80"/>
      <c r="EW29" s="80"/>
      <c r="EX29" s="80"/>
      <c r="EY29" s="80"/>
      <c r="EZ29" s="80"/>
      <c r="FA29" s="80"/>
      <c r="FB29" s="80"/>
      <c r="FC29" s="80"/>
      <c r="FD29" s="80"/>
      <c r="FE29" s="80"/>
      <c r="FF29" s="80"/>
      <c r="FG29" s="80"/>
      <c r="FH29" s="80"/>
      <c r="FI29" s="80"/>
      <c r="FJ29" s="80"/>
      <c r="FK29" s="80"/>
      <c r="FL29" s="80"/>
      <c r="FM29" s="80"/>
      <c r="FN29" s="80"/>
      <c r="FO29" s="80"/>
      <c r="FP29" s="80"/>
      <c r="FQ29" s="80"/>
      <c r="FR29" s="80"/>
      <c r="FS29" s="80"/>
      <c r="FT29" s="80"/>
      <c r="FU29" s="80"/>
      <c r="FV29" s="80"/>
      <c r="FW29" s="80"/>
      <c r="FX29" s="80"/>
      <c r="FY29" s="80"/>
      <c r="FZ29" s="80"/>
      <c r="GA29" s="80"/>
      <c r="GB29" s="80"/>
      <c r="GC29" s="80"/>
      <c r="GD29" s="80"/>
      <c r="GE29" s="80"/>
      <c r="GF29" s="80"/>
      <c r="GG29" s="80"/>
      <c r="GH29" s="80"/>
      <c r="GI29" s="80"/>
      <c r="GJ29" s="80"/>
      <c r="GK29" s="80"/>
      <c r="GL29" s="80"/>
      <c r="GM29" s="80"/>
      <c r="GN29" s="80"/>
      <c r="GO29" s="80"/>
      <c r="GP29" s="80"/>
      <c r="GQ29" s="80"/>
      <c r="GR29" s="80"/>
      <c r="GS29" s="80"/>
      <c r="GT29" s="80"/>
      <c r="GU29" s="80"/>
      <c r="GV29" s="80"/>
      <c r="GW29" s="80"/>
      <c r="GX29" s="80"/>
      <c r="GY29" s="80"/>
      <c r="GZ29" s="80"/>
      <c r="HA29" s="80"/>
      <c r="HB29" s="80"/>
      <c r="HC29" s="80"/>
      <c r="HD29" s="80"/>
      <c r="HE29" s="80"/>
      <c r="HF29" s="80"/>
      <c r="HG29" s="80"/>
      <c r="HH29" s="80"/>
      <c r="HI29" s="80"/>
      <c r="HJ29" s="80"/>
      <c r="HK29" s="80"/>
      <c r="HL29" s="80"/>
      <c r="HM29" s="80"/>
      <c r="HN29" s="80"/>
      <c r="HO29" s="80"/>
      <c r="HP29" s="80"/>
      <c r="HQ29" s="80"/>
      <c r="HR29" s="80"/>
      <c r="HS29" s="80"/>
      <c r="HT29" s="80"/>
      <c r="HU29" s="80"/>
      <c r="HV29" s="80"/>
    </row>
    <row r="30" spans="1:230" ht="17.25" customHeight="1" x14ac:dyDescent="0.3">
      <c r="A30" s="33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35"/>
      <c r="M30" s="35"/>
      <c r="N30" s="35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30" ht="17.25" customHeight="1" x14ac:dyDescent="0.3">
      <c r="A31" s="33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35"/>
      <c r="M31" s="35"/>
      <c r="N31" s="35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30" ht="17.25" customHeight="1" x14ac:dyDescent="0.3">
      <c r="A32" s="33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35"/>
      <c r="M32" s="35"/>
      <c r="N32" s="35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7.25" customHeight="1" x14ac:dyDescent="0.3">
      <c r="A33" s="33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35"/>
      <c r="M33" s="35"/>
      <c r="N33" s="35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7.25" customHeight="1" x14ac:dyDescent="0.3">
      <c r="A34" s="33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35"/>
      <c r="M34" s="35"/>
      <c r="N34" s="35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7.25" customHeight="1" x14ac:dyDescent="0.3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3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3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3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39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">
      <c r="H46" s="10"/>
      <c r="I46" s="10"/>
      <c r="J46" s="10"/>
      <c r="K46" s="1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">
      <c r="H47" s="10"/>
      <c r="I47" s="10"/>
      <c r="J47" s="10"/>
      <c r="K47" s="10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">
      <c r="H48" s="10"/>
      <c r="I48" s="10"/>
      <c r="J48" s="10"/>
      <c r="K48" s="1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8:25" x14ac:dyDescent="0.3">
      <c r="H49" s="10"/>
      <c r="I49" s="10"/>
      <c r="J49" s="10"/>
      <c r="K49" s="1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8:25" x14ac:dyDescent="0.3">
      <c r="H50" s="10"/>
      <c r="I50" s="10"/>
      <c r="J50" s="10"/>
      <c r="K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8:25" x14ac:dyDescent="0.3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8:25" x14ac:dyDescent="0.3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8:25" x14ac:dyDescent="0.3">
      <c r="H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8:25" x14ac:dyDescent="0.3">
      <c r="H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8:25" x14ac:dyDescent="0.3">
      <c r="H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8:25" x14ac:dyDescent="0.3">
      <c r="H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8:25" x14ac:dyDescent="0.3">
      <c r="H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8:25" x14ac:dyDescent="0.3"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8:25" x14ac:dyDescent="0.3"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8:25" x14ac:dyDescent="0.3"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8:25" x14ac:dyDescent="0.3"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8:25" x14ac:dyDescent="0.3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8:25" x14ac:dyDescent="0.3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8:25" x14ac:dyDescent="0.3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3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3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3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3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3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3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3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3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3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3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3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3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3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3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3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3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3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3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3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3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3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3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3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3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3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3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3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3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3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3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3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3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3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3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3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3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3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3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3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3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3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3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3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3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3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3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3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3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3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3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3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3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3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3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3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3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3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3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3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3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3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3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3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3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3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3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3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3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3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3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3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3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3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3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</sheetData>
  <mergeCells count="3">
    <mergeCell ref="A1:Z1"/>
    <mergeCell ref="AB9:AD9"/>
    <mergeCell ref="AB11:AD11"/>
  </mergeCells>
  <phoneticPr fontId="0" type="noConversion"/>
  <printOptions horizontalCentered="1"/>
  <pageMargins left="0.5" right="0.51" top="0.89" bottom="0.6" header="0.35" footer="0.31"/>
  <pageSetup orientation="landscape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BA138"/>
  <sheetViews>
    <sheetView showGridLines="0" workbookViewId="0">
      <selection sqref="A1:Z1"/>
    </sheetView>
  </sheetViews>
  <sheetFormatPr defaultRowHeight="12.45" x14ac:dyDescent="0.3"/>
  <cols>
    <col min="1" max="1" width="6.4609375" customWidth="1"/>
    <col min="2" max="26" width="4.84375" customWidth="1"/>
    <col min="27" max="53" width="9.07421875" style="79" customWidth="1"/>
  </cols>
  <sheetData>
    <row r="1" spans="1:53" s="223" customFormat="1" ht="30" customHeight="1" x14ac:dyDescent="0.45">
      <c r="A1" s="523" t="s">
        <v>117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623"/>
      <c r="M1" s="623"/>
      <c r="N1" s="623"/>
      <c r="O1" s="623"/>
      <c r="P1" s="623"/>
      <c r="Q1" s="623"/>
      <c r="R1" s="623"/>
      <c r="S1" s="623"/>
      <c r="T1" s="623"/>
      <c r="U1" s="623"/>
      <c r="V1" s="623"/>
      <c r="W1" s="623"/>
      <c r="X1" s="623"/>
      <c r="Y1" s="623"/>
      <c r="Z1" s="623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224"/>
      <c r="BA1" s="224"/>
    </row>
    <row r="2" spans="1:53" ht="28.85" customHeight="1" thickBot="1" x14ac:dyDescent="0.35">
      <c r="A2" s="263" t="s">
        <v>28</v>
      </c>
      <c r="B2" s="264">
        <v>1</v>
      </c>
      <c r="C2" s="265">
        <v>2</v>
      </c>
      <c r="D2" s="265">
        <v>3</v>
      </c>
      <c r="E2" s="265">
        <v>4</v>
      </c>
      <c r="F2" s="265">
        <v>5</v>
      </c>
      <c r="G2" s="265">
        <v>6</v>
      </c>
      <c r="H2" s="265">
        <v>7</v>
      </c>
      <c r="I2" s="265">
        <v>8</v>
      </c>
      <c r="J2" s="265">
        <v>9</v>
      </c>
      <c r="K2" s="265">
        <v>10</v>
      </c>
      <c r="L2" s="265">
        <v>11</v>
      </c>
      <c r="M2" s="265">
        <v>12</v>
      </c>
      <c r="N2" s="265">
        <v>13</v>
      </c>
      <c r="O2" s="265">
        <v>14</v>
      </c>
      <c r="P2" s="266">
        <v>15</v>
      </c>
      <c r="Q2" s="266">
        <v>16</v>
      </c>
      <c r="R2" s="266">
        <v>17</v>
      </c>
      <c r="S2" s="266">
        <v>18</v>
      </c>
      <c r="T2" s="266">
        <v>19</v>
      </c>
      <c r="U2" s="266">
        <v>20</v>
      </c>
      <c r="V2" s="266">
        <v>22</v>
      </c>
      <c r="W2" s="266">
        <v>24</v>
      </c>
      <c r="X2" s="266">
        <v>26</v>
      </c>
      <c r="Y2" s="266">
        <v>28</v>
      </c>
      <c r="Z2" s="267">
        <v>30</v>
      </c>
    </row>
    <row r="3" spans="1:53" ht="17.25" customHeight="1" thickTop="1" x14ac:dyDescent="0.3">
      <c r="A3" s="268">
        <v>1</v>
      </c>
      <c r="B3" s="269">
        <v>0.55000000000000004</v>
      </c>
      <c r="C3" s="270">
        <f t="array" ref="C3:Z3">TRANSPOSE(B4:B27)</f>
        <v>0.75</v>
      </c>
      <c r="D3" s="270">
        <v>0.9</v>
      </c>
      <c r="E3" s="270">
        <v>0.95</v>
      </c>
      <c r="F3" s="270">
        <v>1.05</v>
      </c>
      <c r="G3" s="270">
        <v>1.1000000000000001</v>
      </c>
      <c r="H3" s="270">
        <v>1.1499999999999999</v>
      </c>
      <c r="I3" s="270">
        <v>1.1499999999999999</v>
      </c>
      <c r="J3" s="270">
        <v>1.2</v>
      </c>
      <c r="K3" s="270">
        <v>1.2</v>
      </c>
      <c r="L3" s="270">
        <v>1.25</v>
      </c>
      <c r="M3" s="270">
        <v>1.25</v>
      </c>
      <c r="N3" s="270">
        <v>1.25</v>
      </c>
      <c r="O3" s="270">
        <v>1.25</v>
      </c>
      <c r="P3" s="270">
        <v>1.25</v>
      </c>
      <c r="Q3" s="270">
        <v>1.3</v>
      </c>
      <c r="R3" s="270">
        <v>1.3</v>
      </c>
      <c r="S3" s="270">
        <v>1.3</v>
      </c>
      <c r="T3" s="270">
        <v>1.3</v>
      </c>
      <c r="U3" s="270">
        <v>1.3</v>
      </c>
      <c r="V3" s="270">
        <v>1.3</v>
      </c>
      <c r="W3" s="270">
        <v>1.3</v>
      </c>
      <c r="X3" s="270">
        <v>1.3</v>
      </c>
      <c r="Y3" s="270">
        <v>1.35</v>
      </c>
      <c r="Z3" s="271">
        <v>1.35</v>
      </c>
    </row>
    <row r="4" spans="1:53" s="104" customFormat="1" ht="17.25" customHeight="1" x14ac:dyDescent="0.3">
      <c r="A4" s="272">
        <v>2</v>
      </c>
      <c r="B4" s="273">
        <v>0.75</v>
      </c>
      <c r="C4" s="274">
        <v>1.1000000000000001</v>
      </c>
      <c r="D4" s="275">
        <f t="array" ref="D4:Z4">TRANSPOSE(C5:C27)</f>
        <v>1.35</v>
      </c>
      <c r="E4" s="275">
        <v>1.5</v>
      </c>
      <c r="F4" s="275">
        <v>1.65</v>
      </c>
      <c r="G4" s="275">
        <v>1.75</v>
      </c>
      <c r="H4" s="275">
        <v>1.85</v>
      </c>
      <c r="I4" s="275">
        <v>1.9</v>
      </c>
      <c r="J4" s="275">
        <v>1.95</v>
      </c>
      <c r="K4" s="275">
        <v>2</v>
      </c>
      <c r="L4" s="275">
        <v>2.0499999999999998</v>
      </c>
      <c r="M4" s="275">
        <v>2.1</v>
      </c>
      <c r="N4" s="275">
        <v>2.1</v>
      </c>
      <c r="O4" s="275">
        <v>2.15</v>
      </c>
      <c r="P4" s="275">
        <v>2.2000000000000002</v>
      </c>
      <c r="Q4" s="275">
        <v>2.2000000000000002</v>
      </c>
      <c r="R4" s="275">
        <v>2.2000000000000002</v>
      </c>
      <c r="S4" s="275">
        <v>2.2000000000000002</v>
      </c>
      <c r="T4" s="275">
        <v>2.25</v>
      </c>
      <c r="U4" s="275">
        <v>2.25</v>
      </c>
      <c r="V4" s="275">
        <v>2.25</v>
      </c>
      <c r="W4" s="275">
        <v>2.25</v>
      </c>
      <c r="X4" s="275">
        <v>2.25</v>
      </c>
      <c r="Y4" s="275">
        <v>2.2999999999999998</v>
      </c>
      <c r="Z4" s="276">
        <v>2.2999999999999998</v>
      </c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</row>
    <row r="5" spans="1:53" ht="17.25" customHeight="1" x14ac:dyDescent="0.3">
      <c r="A5" s="268">
        <v>3</v>
      </c>
      <c r="B5" s="289">
        <v>0.9</v>
      </c>
      <c r="C5" s="290">
        <v>1.35</v>
      </c>
      <c r="D5" s="290">
        <v>1.7</v>
      </c>
      <c r="E5" s="280">
        <f t="array" ref="E5:Z5">TRANSPOSE(D6:D27)</f>
        <v>1.95</v>
      </c>
      <c r="F5" s="280">
        <v>2.1</v>
      </c>
      <c r="G5" s="280">
        <v>2.2999999999999998</v>
      </c>
      <c r="H5" s="280">
        <v>2.4</v>
      </c>
      <c r="I5" s="280">
        <v>2.5</v>
      </c>
      <c r="J5" s="280">
        <v>2.6</v>
      </c>
      <c r="K5" s="280">
        <v>2.7</v>
      </c>
      <c r="L5" s="280">
        <v>2.75</v>
      </c>
      <c r="M5" s="280">
        <v>2.8</v>
      </c>
      <c r="N5" s="280">
        <v>2.85</v>
      </c>
      <c r="O5" s="280">
        <v>2.9</v>
      </c>
      <c r="P5" s="280">
        <v>2.9</v>
      </c>
      <c r="Q5" s="280">
        <v>2.95</v>
      </c>
      <c r="R5" s="280">
        <v>2.95</v>
      </c>
      <c r="S5" s="280">
        <v>3</v>
      </c>
      <c r="T5" s="280">
        <v>3</v>
      </c>
      <c r="U5" s="280">
        <v>3.05</v>
      </c>
      <c r="V5" s="280">
        <v>3.05</v>
      </c>
      <c r="W5" s="280">
        <v>3.1</v>
      </c>
      <c r="X5" s="280">
        <v>3.1</v>
      </c>
      <c r="Y5" s="280">
        <v>3.1</v>
      </c>
      <c r="Z5" s="281">
        <v>3.1</v>
      </c>
    </row>
    <row r="6" spans="1:53" s="104" customFormat="1" ht="17.25" customHeight="1" x14ac:dyDescent="0.3">
      <c r="A6" s="272">
        <v>4</v>
      </c>
      <c r="B6" s="273">
        <v>0.95</v>
      </c>
      <c r="C6" s="274">
        <v>1.5</v>
      </c>
      <c r="D6" s="274">
        <v>1.95</v>
      </c>
      <c r="E6" s="274">
        <v>2.25</v>
      </c>
      <c r="F6" s="275">
        <f t="array" ref="F6:Z6">TRANSPOSE(E7:E27)</f>
        <v>2.5</v>
      </c>
      <c r="G6" s="275">
        <v>2.7</v>
      </c>
      <c r="H6" s="275">
        <v>2.85</v>
      </c>
      <c r="I6" s="275">
        <v>3</v>
      </c>
      <c r="J6" s="275">
        <v>3.15</v>
      </c>
      <c r="K6" s="275">
        <v>3.25</v>
      </c>
      <c r="L6" s="275">
        <v>3.35</v>
      </c>
      <c r="M6" s="275">
        <v>3.4</v>
      </c>
      <c r="N6" s="275">
        <v>3.45</v>
      </c>
      <c r="O6" s="275">
        <v>3.55</v>
      </c>
      <c r="P6" s="275">
        <v>3.6</v>
      </c>
      <c r="Q6" s="275">
        <v>3.65</v>
      </c>
      <c r="R6" s="275">
        <v>3.65</v>
      </c>
      <c r="S6" s="275">
        <v>3.7</v>
      </c>
      <c r="T6" s="275">
        <v>3.7</v>
      </c>
      <c r="U6" s="275">
        <v>3.75</v>
      </c>
      <c r="V6" s="275">
        <v>3.8</v>
      </c>
      <c r="W6" s="275">
        <v>3.8</v>
      </c>
      <c r="X6" s="275">
        <v>3.85</v>
      </c>
      <c r="Y6" s="275">
        <v>3.85</v>
      </c>
      <c r="Z6" s="276">
        <v>3.85</v>
      </c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</row>
    <row r="7" spans="1:53" ht="17.25" customHeight="1" x14ac:dyDescent="0.3">
      <c r="A7" s="268">
        <v>5</v>
      </c>
      <c r="B7" s="289">
        <v>1.05</v>
      </c>
      <c r="C7" s="290">
        <v>1.65</v>
      </c>
      <c r="D7" s="290">
        <v>2.1</v>
      </c>
      <c r="E7" s="290">
        <v>2.5</v>
      </c>
      <c r="F7" s="290">
        <v>2.8</v>
      </c>
      <c r="G7" s="280">
        <f t="array" ref="G7:Z7">TRANSPOSE(F8:F27)</f>
        <v>3.05</v>
      </c>
      <c r="H7" s="280">
        <v>3.25</v>
      </c>
      <c r="I7" s="280">
        <v>3.45</v>
      </c>
      <c r="J7" s="280">
        <v>3.6</v>
      </c>
      <c r="K7" s="280">
        <v>3.75</v>
      </c>
      <c r="L7" s="280">
        <v>3.85</v>
      </c>
      <c r="M7" s="280">
        <v>3.95</v>
      </c>
      <c r="N7" s="280">
        <v>4.05</v>
      </c>
      <c r="O7" s="280">
        <v>4.1500000000000004</v>
      </c>
      <c r="P7" s="280">
        <v>4.2</v>
      </c>
      <c r="Q7" s="280">
        <v>4.25</v>
      </c>
      <c r="R7" s="280">
        <v>4.3</v>
      </c>
      <c r="S7" s="280">
        <v>4.3499999999999996</v>
      </c>
      <c r="T7" s="280">
        <v>4.4000000000000004</v>
      </c>
      <c r="U7" s="280">
        <v>4.4000000000000004</v>
      </c>
      <c r="V7" s="280">
        <v>4.45</v>
      </c>
      <c r="W7" s="280">
        <v>4.5</v>
      </c>
      <c r="X7" s="280">
        <v>4.55</v>
      </c>
      <c r="Y7" s="280">
        <v>4.55</v>
      </c>
      <c r="Z7" s="281">
        <v>4.5999999999999996</v>
      </c>
    </row>
    <row r="8" spans="1:53" s="104" customFormat="1" ht="17.25" customHeight="1" x14ac:dyDescent="0.3">
      <c r="A8" s="272">
        <v>6</v>
      </c>
      <c r="B8" s="273">
        <v>1.1000000000000001</v>
      </c>
      <c r="C8" s="274">
        <v>1.75</v>
      </c>
      <c r="D8" s="274">
        <v>2.2999999999999998</v>
      </c>
      <c r="E8" s="274">
        <v>2.7</v>
      </c>
      <c r="F8" s="274">
        <v>3.05</v>
      </c>
      <c r="G8" s="274">
        <v>3.35</v>
      </c>
      <c r="H8" s="275">
        <f t="array" ref="H8:Z8">TRANSPOSE(G9:G27)</f>
        <v>3.6</v>
      </c>
      <c r="I8" s="275">
        <v>3.85</v>
      </c>
      <c r="J8" s="275">
        <v>4.05</v>
      </c>
      <c r="K8" s="275">
        <v>4.2</v>
      </c>
      <c r="L8" s="275">
        <v>4.3499999999999996</v>
      </c>
      <c r="M8" s="275">
        <v>4.45</v>
      </c>
      <c r="N8" s="275">
        <v>4.5999999999999996</v>
      </c>
      <c r="O8" s="275">
        <v>4.7</v>
      </c>
      <c r="P8" s="275">
        <v>4.75</v>
      </c>
      <c r="Q8" s="275">
        <v>4.8499999999999996</v>
      </c>
      <c r="R8" s="275">
        <v>4.9000000000000004</v>
      </c>
      <c r="S8" s="275">
        <v>4.95</v>
      </c>
      <c r="T8" s="275">
        <v>5</v>
      </c>
      <c r="U8" s="275">
        <v>5.05</v>
      </c>
      <c r="V8" s="275">
        <v>5.0999999999999996</v>
      </c>
      <c r="W8" s="275">
        <v>5.15</v>
      </c>
      <c r="X8" s="275">
        <v>5.2</v>
      </c>
      <c r="Y8" s="275">
        <v>5.25</v>
      </c>
      <c r="Z8" s="276">
        <v>5.25</v>
      </c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</row>
    <row r="9" spans="1:53" ht="17.25" customHeight="1" x14ac:dyDescent="0.3">
      <c r="A9" s="268">
        <v>7</v>
      </c>
      <c r="B9" s="289">
        <v>1.1499999999999999</v>
      </c>
      <c r="C9" s="290">
        <v>1.85</v>
      </c>
      <c r="D9" s="290">
        <v>2.4</v>
      </c>
      <c r="E9" s="290">
        <v>2.85</v>
      </c>
      <c r="F9" s="290">
        <v>3.25</v>
      </c>
      <c r="G9" s="290">
        <v>3.6</v>
      </c>
      <c r="H9" s="290">
        <v>3.9</v>
      </c>
      <c r="I9" s="280">
        <f t="array" ref="I9:Z9">TRANSPOSE(H10:I27)</f>
        <v>4.2</v>
      </c>
      <c r="J9" s="280">
        <v>4.4000000000000004</v>
      </c>
      <c r="K9" s="280">
        <v>4.5999999999999996</v>
      </c>
      <c r="L9" s="280">
        <v>4.8</v>
      </c>
      <c r="M9" s="280">
        <v>4.95</v>
      </c>
      <c r="N9" s="280">
        <v>5.05</v>
      </c>
      <c r="O9" s="280">
        <v>5.2</v>
      </c>
      <c r="P9" s="280">
        <v>5.3</v>
      </c>
      <c r="Q9" s="280">
        <v>5.4</v>
      </c>
      <c r="R9" s="280">
        <v>5.45</v>
      </c>
      <c r="S9" s="280">
        <v>5.5</v>
      </c>
      <c r="T9" s="280">
        <v>5.6</v>
      </c>
      <c r="U9" s="280">
        <v>5.65</v>
      </c>
      <c r="V9" s="280">
        <v>5.75</v>
      </c>
      <c r="W9" s="280">
        <v>5.8</v>
      </c>
      <c r="X9" s="280">
        <v>5.85</v>
      </c>
      <c r="Y9" s="280">
        <v>5.9</v>
      </c>
      <c r="Z9" s="281">
        <v>5.9</v>
      </c>
      <c r="AB9" s="617" t="s">
        <v>27</v>
      </c>
      <c r="AC9" s="618"/>
      <c r="AD9" s="618"/>
    </row>
    <row r="10" spans="1:53" s="104" customFormat="1" ht="17.25" customHeight="1" thickBot="1" x14ac:dyDescent="0.35">
      <c r="A10" s="272">
        <v>8</v>
      </c>
      <c r="B10" s="273">
        <v>1.1499999999999999</v>
      </c>
      <c r="C10" s="274">
        <v>1.9</v>
      </c>
      <c r="D10" s="274">
        <v>2.5</v>
      </c>
      <c r="E10" s="274">
        <v>3</v>
      </c>
      <c r="F10" s="274">
        <v>3.45</v>
      </c>
      <c r="G10" s="274">
        <v>3.85</v>
      </c>
      <c r="H10" s="274">
        <v>4.2</v>
      </c>
      <c r="I10" s="274">
        <v>4.45</v>
      </c>
      <c r="J10" s="282">
        <f t="array" ref="J10:Z10">TRANSPOSE(I11:I27)</f>
        <v>4.75</v>
      </c>
      <c r="K10" s="282">
        <v>4.95</v>
      </c>
      <c r="L10" s="282">
        <v>5.15</v>
      </c>
      <c r="M10" s="282">
        <v>5.35</v>
      </c>
      <c r="N10" s="282">
        <v>5.5</v>
      </c>
      <c r="O10" s="282">
        <v>5.65</v>
      </c>
      <c r="P10" s="282">
        <v>5.75</v>
      </c>
      <c r="Q10" s="282">
        <v>5.9</v>
      </c>
      <c r="R10" s="282">
        <v>5.95</v>
      </c>
      <c r="S10" s="282">
        <v>6.05</v>
      </c>
      <c r="T10" s="282">
        <v>6.15</v>
      </c>
      <c r="U10" s="282">
        <v>6.2</v>
      </c>
      <c r="V10" s="282">
        <v>6.3</v>
      </c>
      <c r="W10" s="282">
        <v>6.4</v>
      </c>
      <c r="X10" s="282">
        <v>6.45</v>
      </c>
      <c r="Y10" s="282">
        <v>6.5</v>
      </c>
      <c r="Z10" s="283">
        <v>6.55</v>
      </c>
      <c r="AA10" s="79"/>
      <c r="AB10" s="35"/>
      <c r="AC10" s="67"/>
      <c r="AD10" s="67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</row>
    <row r="11" spans="1:53" ht="17.25" customHeight="1" thickBot="1" x14ac:dyDescent="0.35">
      <c r="A11" s="268">
        <v>9</v>
      </c>
      <c r="B11" s="289">
        <v>1.2</v>
      </c>
      <c r="C11" s="290">
        <v>1.95</v>
      </c>
      <c r="D11" s="290">
        <v>2.6</v>
      </c>
      <c r="E11" s="290">
        <v>3.15</v>
      </c>
      <c r="F11" s="290">
        <v>3.6</v>
      </c>
      <c r="G11" s="290">
        <v>4.05</v>
      </c>
      <c r="H11" s="290">
        <v>4.4000000000000004</v>
      </c>
      <c r="I11" s="290">
        <v>4.75</v>
      </c>
      <c r="J11" s="290">
        <v>5.05</v>
      </c>
      <c r="K11" s="280">
        <f t="array" ref="K11:Z11">TRANSPOSE(J12:J27)</f>
        <v>5.3</v>
      </c>
      <c r="L11" s="280">
        <v>5.55</v>
      </c>
      <c r="M11" s="280">
        <v>5.75</v>
      </c>
      <c r="N11" s="280">
        <v>5.9</v>
      </c>
      <c r="O11" s="280">
        <v>6.1</v>
      </c>
      <c r="P11" s="280">
        <v>6.2</v>
      </c>
      <c r="Q11" s="280">
        <v>6.35</v>
      </c>
      <c r="R11" s="280">
        <v>6.45</v>
      </c>
      <c r="S11" s="280">
        <v>6.55</v>
      </c>
      <c r="T11" s="280">
        <v>6.65</v>
      </c>
      <c r="U11" s="280">
        <v>6.75</v>
      </c>
      <c r="V11" s="280">
        <v>6.85</v>
      </c>
      <c r="W11" s="280">
        <v>6.95</v>
      </c>
      <c r="X11" s="280">
        <v>7.05</v>
      </c>
      <c r="Y11" s="280">
        <v>7.1</v>
      </c>
      <c r="Z11" s="281">
        <v>7.15</v>
      </c>
      <c r="AB11" s="619" t="s">
        <v>18</v>
      </c>
      <c r="AC11" s="620"/>
      <c r="AD11" s="621"/>
    </row>
    <row r="12" spans="1:53" s="104" customFormat="1" ht="17.25" customHeight="1" thickBot="1" x14ac:dyDescent="0.35">
      <c r="A12" s="272">
        <v>10</v>
      </c>
      <c r="B12" s="273">
        <v>1.2</v>
      </c>
      <c r="C12" s="274">
        <v>2</v>
      </c>
      <c r="D12" s="274">
        <v>2.7</v>
      </c>
      <c r="E12" s="274">
        <v>3.25</v>
      </c>
      <c r="F12" s="274">
        <v>3.75</v>
      </c>
      <c r="G12" s="274">
        <v>4.2</v>
      </c>
      <c r="H12" s="274">
        <v>4.5999999999999996</v>
      </c>
      <c r="I12" s="274">
        <v>4.95</v>
      </c>
      <c r="J12" s="274">
        <v>5.3</v>
      </c>
      <c r="K12" s="274">
        <v>5.6</v>
      </c>
      <c r="L12" s="282">
        <f t="array" ref="L12:Z12">TRANSPOSE(K13:K27)</f>
        <v>5.85</v>
      </c>
      <c r="M12" s="282">
        <v>6.1</v>
      </c>
      <c r="N12" s="282">
        <v>6.3</v>
      </c>
      <c r="O12" s="282">
        <v>6.5</v>
      </c>
      <c r="P12" s="282">
        <v>6.65</v>
      </c>
      <c r="Q12" s="282">
        <v>6.8</v>
      </c>
      <c r="R12" s="282">
        <v>6.95</v>
      </c>
      <c r="S12" s="282">
        <v>7.05</v>
      </c>
      <c r="T12" s="282">
        <v>7.15</v>
      </c>
      <c r="U12" s="282">
        <v>7.25</v>
      </c>
      <c r="V12" s="282">
        <v>7.4</v>
      </c>
      <c r="W12" s="282">
        <v>7.5</v>
      </c>
      <c r="X12" s="282">
        <v>7.6</v>
      </c>
      <c r="Y12" s="282">
        <v>7.7</v>
      </c>
      <c r="Z12" s="283">
        <v>7.75</v>
      </c>
      <c r="AA12" s="79"/>
      <c r="AB12" s="122" t="s">
        <v>29</v>
      </c>
      <c r="AC12" s="244" t="s">
        <v>30</v>
      </c>
      <c r="AD12" s="148" t="s">
        <v>38</v>
      </c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</row>
    <row r="13" spans="1:53" ht="17.25" customHeight="1" thickBot="1" x14ac:dyDescent="0.35">
      <c r="A13" s="268">
        <v>11</v>
      </c>
      <c r="B13" s="289">
        <v>1.25</v>
      </c>
      <c r="C13" s="290">
        <v>2.0499999999999998</v>
      </c>
      <c r="D13" s="290">
        <v>2.75</v>
      </c>
      <c r="E13" s="290">
        <v>3.35</v>
      </c>
      <c r="F13" s="290">
        <v>3.85</v>
      </c>
      <c r="G13" s="290">
        <v>4.3499999999999996</v>
      </c>
      <c r="H13" s="290">
        <v>4.8</v>
      </c>
      <c r="I13" s="290">
        <v>5.15</v>
      </c>
      <c r="J13" s="290">
        <v>5.55</v>
      </c>
      <c r="K13" s="290">
        <v>5.85</v>
      </c>
      <c r="L13" s="290">
        <v>6.15</v>
      </c>
      <c r="M13" s="286">
        <f t="array" ref="M13:Z13">TRANSPOSE(L14:M27)</f>
        <v>6.4</v>
      </c>
      <c r="N13" s="286">
        <v>6.65</v>
      </c>
      <c r="O13" s="286">
        <v>6.85</v>
      </c>
      <c r="P13" s="286">
        <v>7.05</v>
      </c>
      <c r="Q13" s="286">
        <v>7.2</v>
      </c>
      <c r="R13" s="286">
        <v>7.35</v>
      </c>
      <c r="S13" s="286">
        <v>7.5</v>
      </c>
      <c r="T13" s="286">
        <v>7.65</v>
      </c>
      <c r="U13" s="286">
        <v>7.75</v>
      </c>
      <c r="V13" s="286">
        <v>7.9</v>
      </c>
      <c r="W13" s="286">
        <v>8.0500000000000007</v>
      </c>
      <c r="X13" s="286">
        <v>8.1999999999999993</v>
      </c>
      <c r="Y13" s="286">
        <v>8.25</v>
      </c>
      <c r="Z13" s="287">
        <v>8.35</v>
      </c>
      <c r="AB13" s="474">
        <v>5</v>
      </c>
      <c r="AC13" s="475">
        <v>10</v>
      </c>
      <c r="AD13" s="148">
        <f>Interpolate2DTable(AB13,AC13,A2:Z27)</f>
        <v>3.75</v>
      </c>
    </row>
    <row r="14" spans="1:53" s="104" customFormat="1" ht="17.25" customHeight="1" x14ac:dyDescent="0.3">
      <c r="A14" s="272">
        <v>12</v>
      </c>
      <c r="B14" s="273">
        <v>1.25</v>
      </c>
      <c r="C14" s="274">
        <v>2.1</v>
      </c>
      <c r="D14" s="274">
        <v>2.8</v>
      </c>
      <c r="E14" s="274">
        <v>3.4</v>
      </c>
      <c r="F14" s="274">
        <v>3.95</v>
      </c>
      <c r="G14" s="274">
        <v>4.45</v>
      </c>
      <c r="H14" s="274">
        <v>4.95</v>
      </c>
      <c r="I14" s="274">
        <v>5.35</v>
      </c>
      <c r="J14" s="274">
        <v>5.75</v>
      </c>
      <c r="K14" s="274">
        <v>6.1</v>
      </c>
      <c r="L14" s="274">
        <v>6.4</v>
      </c>
      <c r="M14" s="274">
        <v>6.7</v>
      </c>
      <c r="N14" s="282">
        <f t="array" ref="N14:Z14">TRANSPOSE(M15:M27)</f>
        <v>6.95</v>
      </c>
      <c r="O14" s="282">
        <v>7.2</v>
      </c>
      <c r="P14" s="282">
        <v>7.4</v>
      </c>
      <c r="Q14" s="282">
        <v>7.6</v>
      </c>
      <c r="R14" s="282">
        <v>7.8</v>
      </c>
      <c r="S14" s="282">
        <v>7.95</v>
      </c>
      <c r="T14" s="282">
        <v>8.1</v>
      </c>
      <c r="U14" s="282">
        <v>8.1999999999999993</v>
      </c>
      <c r="V14" s="282">
        <v>8.4</v>
      </c>
      <c r="W14" s="282">
        <v>8.6</v>
      </c>
      <c r="X14" s="282">
        <v>8.6999999999999993</v>
      </c>
      <c r="Y14" s="282">
        <v>8.8000000000000007</v>
      </c>
      <c r="Z14" s="283">
        <v>8.9</v>
      </c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</row>
    <row r="15" spans="1:53" ht="17.25" customHeight="1" x14ac:dyDescent="0.3">
      <c r="A15" s="268">
        <v>13</v>
      </c>
      <c r="B15" s="289">
        <v>1.25</v>
      </c>
      <c r="C15" s="290">
        <v>2.1</v>
      </c>
      <c r="D15" s="290">
        <v>2.85</v>
      </c>
      <c r="E15" s="290">
        <v>3.45</v>
      </c>
      <c r="F15" s="290">
        <v>4.05</v>
      </c>
      <c r="G15" s="290">
        <v>4.5999999999999996</v>
      </c>
      <c r="H15" s="290">
        <v>5.05</v>
      </c>
      <c r="I15" s="290">
        <v>5.5</v>
      </c>
      <c r="J15" s="290">
        <v>5.9</v>
      </c>
      <c r="K15" s="290">
        <v>6.3</v>
      </c>
      <c r="L15" s="290">
        <v>6.65</v>
      </c>
      <c r="M15" s="290">
        <v>6.95</v>
      </c>
      <c r="N15" s="290">
        <v>7.25</v>
      </c>
      <c r="O15" s="286">
        <f t="array" ref="O15:Z15">TRANSPOSE(N16:N27)</f>
        <v>7.5</v>
      </c>
      <c r="P15" s="286">
        <v>7.75</v>
      </c>
      <c r="Q15" s="286">
        <v>7.95</v>
      </c>
      <c r="R15" s="286">
        <v>8.15</v>
      </c>
      <c r="S15" s="286">
        <v>8.35</v>
      </c>
      <c r="T15" s="286">
        <v>8.5</v>
      </c>
      <c r="U15" s="286">
        <v>8.65</v>
      </c>
      <c r="V15" s="286">
        <v>8.9</v>
      </c>
      <c r="W15" s="286">
        <v>9.1</v>
      </c>
      <c r="X15" s="286">
        <v>9.25</v>
      </c>
      <c r="Y15" s="286">
        <v>9.35</v>
      </c>
      <c r="Z15" s="287">
        <v>9.4499999999999993</v>
      </c>
    </row>
    <row r="16" spans="1:53" s="104" customFormat="1" ht="17.25" customHeight="1" x14ac:dyDescent="0.3">
      <c r="A16" s="272">
        <v>14</v>
      </c>
      <c r="B16" s="273">
        <v>1.25</v>
      </c>
      <c r="C16" s="274">
        <v>2.15</v>
      </c>
      <c r="D16" s="274">
        <v>2.9</v>
      </c>
      <c r="E16" s="274">
        <v>3.55</v>
      </c>
      <c r="F16" s="274">
        <v>4.1500000000000004</v>
      </c>
      <c r="G16" s="274">
        <v>4.7</v>
      </c>
      <c r="H16" s="274">
        <v>5.2</v>
      </c>
      <c r="I16" s="274">
        <v>5.65</v>
      </c>
      <c r="J16" s="274">
        <v>6.1</v>
      </c>
      <c r="K16" s="274">
        <v>6.5</v>
      </c>
      <c r="L16" s="274">
        <v>6.85</v>
      </c>
      <c r="M16" s="274">
        <v>7.2</v>
      </c>
      <c r="N16" s="274">
        <v>7.5</v>
      </c>
      <c r="O16" s="274">
        <v>7.8</v>
      </c>
      <c r="P16" s="282">
        <f t="array" ref="P16:Z16">TRANSPOSE(O17:O27)</f>
        <v>8.0500000000000007</v>
      </c>
      <c r="Q16" s="282">
        <v>8.3000000000000007</v>
      </c>
      <c r="R16" s="282">
        <v>8.5</v>
      </c>
      <c r="S16" s="282">
        <v>8.6999999999999993</v>
      </c>
      <c r="T16" s="282">
        <v>8.9</v>
      </c>
      <c r="U16" s="282">
        <v>9.0500000000000007</v>
      </c>
      <c r="V16" s="282">
        <v>9.35</v>
      </c>
      <c r="W16" s="282">
        <v>9.5500000000000007</v>
      </c>
      <c r="X16" s="282">
        <v>9.6999999999999993</v>
      </c>
      <c r="Y16" s="282">
        <v>9.85</v>
      </c>
      <c r="Z16" s="283">
        <v>10</v>
      </c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</row>
    <row r="17" spans="1:53" ht="17.25" customHeight="1" x14ac:dyDescent="0.3">
      <c r="A17" s="268">
        <v>15</v>
      </c>
      <c r="B17" s="289">
        <v>1.25</v>
      </c>
      <c r="C17" s="290">
        <v>2.2000000000000002</v>
      </c>
      <c r="D17" s="290">
        <v>2.9</v>
      </c>
      <c r="E17" s="290">
        <v>3.6</v>
      </c>
      <c r="F17" s="290">
        <v>4.2</v>
      </c>
      <c r="G17" s="290">
        <v>4.75</v>
      </c>
      <c r="H17" s="290">
        <v>5.3</v>
      </c>
      <c r="I17" s="290">
        <v>5.75</v>
      </c>
      <c r="J17" s="290">
        <v>6.2</v>
      </c>
      <c r="K17" s="290">
        <v>6.65</v>
      </c>
      <c r="L17" s="290">
        <v>7.05</v>
      </c>
      <c r="M17" s="290">
        <v>7.4</v>
      </c>
      <c r="N17" s="290">
        <v>7.75</v>
      </c>
      <c r="O17" s="290">
        <v>8.0500000000000007</v>
      </c>
      <c r="P17" s="290">
        <v>8.35</v>
      </c>
      <c r="Q17" s="286">
        <f t="array" ref="Q17:Z17">TRANSPOSE(P18:P27)</f>
        <v>8.6</v>
      </c>
      <c r="R17" s="286">
        <v>8.85</v>
      </c>
      <c r="S17" s="286">
        <v>9.0500000000000007</v>
      </c>
      <c r="T17" s="286">
        <v>9.25</v>
      </c>
      <c r="U17" s="286">
        <v>9.4499999999999993</v>
      </c>
      <c r="V17" s="286">
        <v>9.75</v>
      </c>
      <c r="W17" s="286">
        <v>10</v>
      </c>
      <c r="X17" s="286">
        <v>10.199999999999999</v>
      </c>
      <c r="Y17" s="286">
        <v>10.4</v>
      </c>
      <c r="Z17" s="287">
        <v>10.5</v>
      </c>
    </row>
    <row r="18" spans="1:53" s="104" customFormat="1" ht="17.25" customHeight="1" x14ac:dyDescent="0.3">
      <c r="A18" s="272">
        <v>16</v>
      </c>
      <c r="B18" s="273">
        <v>1.3</v>
      </c>
      <c r="C18" s="274">
        <v>2.2000000000000002</v>
      </c>
      <c r="D18" s="274">
        <v>2.95</v>
      </c>
      <c r="E18" s="274">
        <v>3.65</v>
      </c>
      <c r="F18" s="274">
        <v>4.25</v>
      </c>
      <c r="G18" s="274">
        <v>4.8499999999999996</v>
      </c>
      <c r="H18" s="274">
        <v>5.4</v>
      </c>
      <c r="I18" s="274">
        <v>5.9</v>
      </c>
      <c r="J18" s="274">
        <v>6.35</v>
      </c>
      <c r="K18" s="274">
        <v>6.8</v>
      </c>
      <c r="L18" s="274">
        <v>7.2</v>
      </c>
      <c r="M18" s="274">
        <v>7.6</v>
      </c>
      <c r="N18" s="274">
        <v>7.95</v>
      </c>
      <c r="O18" s="274">
        <v>8.3000000000000007</v>
      </c>
      <c r="P18" s="274">
        <v>8.6</v>
      </c>
      <c r="Q18" s="274">
        <v>8.9</v>
      </c>
      <c r="R18" s="282">
        <f t="array" ref="R18:Z18">TRANSPOSE(Q19:Q27)</f>
        <v>9.15</v>
      </c>
      <c r="S18" s="282">
        <v>9.4</v>
      </c>
      <c r="T18" s="282">
        <v>9.65</v>
      </c>
      <c r="U18" s="282">
        <v>9.85</v>
      </c>
      <c r="V18" s="282">
        <v>10.199999999999999</v>
      </c>
      <c r="W18" s="282">
        <v>10.5</v>
      </c>
      <c r="X18" s="282">
        <v>10.7</v>
      </c>
      <c r="Y18" s="282">
        <v>10.9</v>
      </c>
      <c r="Z18" s="283">
        <v>11</v>
      </c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</row>
    <row r="19" spans="1:53" ht="17.25" customHeight="1" x14ac:dyDescent="0.3">
      <c r="A19" s="268">
        <v>17</v>
      </c>
      <c r="B19" s="289">
        <v>1.3</v>
      </c>
      <c r="C19" s="290">
        <v>2.2000000000000002</v>
      </c>
      <c r="D19" s="290">
        <v>2.95</v>
      </c>
      <c r="E19" s="290">
        <v>3.65</v>
      </c>
      <c r="F19" s="290">
        <v>4.3</v>
      </c>
      <c r="G19" s="290">
        <v>4.9000000000000004</v>
      </c>
      <c r="H19" s="290">
        <v>5.45</v>
      </c>
      <c r="I19" s="290">
        <v>5.95</v>
      </c>
      <c r="J19" s="290">
        <v>6.45</v>
      </c>
      <c r="K19" s="290">
        <v>6.95</v>
      </c>
      <c r="L19" s="290">
        <v>7.35</v>
      </c>
      <c r="M19" s="290">
        <v>7.8</v>
      </c>
      <c r="N19" s="290">
        <v>8.15</v>
      </c>
      <c r="O19" s="290">
        <v>8.5</v>
      </c>
      <c r="P19" s="290">
        <v>8.85</v>
      </c>
      <c r="Q19" s="290">
        <v>9.15</v>
      </c>
      <c r="R19" s="290">
        <v>9.4499999999999993</v>
      </c>
      <c r="S19" s="286">
        <f t="array" ref="S19:Z19">TRANSPOSE(R20:R27)</f>
        <v>9.6999999999999993</v>
      </c>
      <c r="T19" s="286">
        <v>9.9499999999999993</v>
      </c>
      <c r="U19" s="286">
        <v>10.199999999999999</v>
      </c>
      <c r="V19" s="286">
        <v>10.6</v>
      </c>
      <c r="W19" s="286">
        <v>10.9</v>
      </c>
      <c r="X19" s="286">
        <v>11.2</v>
      </c>
      <c r="Y19" s="286">
        <v>11.4</v>
      </c>
      <c r="Z19" s="287">
        <v>11.5</v>
      </c>
    </row>
    <row r="20" spans="1:53" s="104" customFormat="1" ht="17.25" customHeight="1" x14ac:dyDescent="0.3">
      <c r="A20" s="272">
        <v>18</v>
      </c>
      <c r="B20" s="273">
        <v>1.3</v>
      </c>
      <c r="C20" s="274">
        <v>2.2000000000000002</v>
      </c>
      <c r="D20" s="274">
        <v>3</v>
      </c>
      <c r="E20" s="274">
        <v>3.7</v>
      </c>
      <c r="F20" s="274">
        <v>4.3499999999999996</v>
      </c>
      <c r="G20" s="274">
        <v>4.95</v>
      </c>
      <c r="H20" s="274">
        <v>5.5</v>
      </c>
      <c r="I20" s="274">
        <v>6.05</v>
      </c>
      <c r="J20" s="274">
        <v>6.55</v>
      </c>
      <c r="K20" s="274">
        <v>7.05</v>
      </c>
      <c r="L20" s="274">
        <v>7.5</v>
      </c>
      <c r="M20" s="274">
        <v>7.95</v>
      </c>
      <c r="N20" s="274">
        <v>8.35</v>
      </c>
      <c r="O20" s="274">
        <v>8.6999999999999993</v>
      </c>
      <c r="P20" s="274">
        <v>9.0500000000000007</v>
      </c>
      <c r="Q20" s="274">
        <v>9.4</v>
      </c>
      <c r="R20" s="274">
        <v>9.6999999999999993</v>
      </c>
      <c r="S20" s="284">
        <v>10</v>
      </c>
      <c r="T20" s="282">
        <f t="array" ref="T20:Z20">TRANSPOSE(S21:S27)</f>
        <v>10.3</v>
      </c>
      <c r="U20" s="282">
        <v>10.5</v>
      </c>
      <c r="V20" s="282">
        <v>11</v>
      </c>
      <c r="W20" s="282">
        <v>11.3</v>
      </c>
      <c r="X20" s="282">
        <v>11.6</v>
      </c>
      <c r="Y20" s="282">
        <v>11.8</v>
      </c>
      <c r="Z20" s="283">
        <v>12</v>
      </c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</row>
    <row r="21" spans="1:53" ht="17.25" customHeight="1" x14ac:dyDescent="0.3">
      <c r="A21" s="268">
        <v>19</v>
      </c>
      <c r="B21" s="289">
        <v>1.3</v>
      </c>
      <c r="C21" s="290">
        <v>2.25</v>
      </c>
      <c r="D21" s="290">
        <v>3</v>
      </c>
      <c r="E21" s="290">
        <v>3.7</v>
      </c>
      <c r="F21" s="290">
        <v>4.4000000000000004</v>
      </c>
      <c r="G21" s="290">
        <v>5</v>
      </c>
      <c r="H21" s="290">
        <v>5.6</v>
      </c>
      <c r="I21" s="290">
        <v>6.15</v>
      </c>
      <c r="J21" s="290">
        <v>6.65</v>
      </c>
      <c r="K21" s="290">
        <v>7.15</v>
      </c>
      <c r="L21" s="290">
        <v>7.65</v>
      </c>
      <c r="M21" s="290">
        <v>8.1</v>
      </c>
      <c r="N21" s="290">
        <v>8.5</v>
      </c>
      <c r="O21" s="290">
        <v>8.9</v>
      </c>
      <c r="P21" s="290">
        <v>9.25</v>
      </c>
      <c r="Q21" s="290">
        <v>9.65</v>
      </c>
      <c r="R21" s="290">
        <v>9.9499999999999993</v>
      </c>
      <c r="S21" s="291">
        <v>10.3</v>
      </c>
      <c r="T21" s="291">
        <v>10.6</v>
      </c>
      <c r="U21" s="286">
        <f t="array" ref="U21:Z21">TRANSPOSE(T22:T27)</f>
        <v>10.8</v>
      </c>
      <c r="V21" s="286">
        <v>11.3</v>
      </c>
      <c r="W21" s="286">
        <v>11.7</v>
      </c>
      <c r="X21" s="286">
        <v>12</v>
      </c>
      <c r="Y21" s="286">
        <v>12.3</v>
      </c>
      <c r="Z21" s="287">
        <v>12.5</v>
      </c>
    </row>
    <row r="22" spans="1:53" s="104" customFormat="1" ht="17.25" customHeight="1" x14ac:dyDescent="0.3">
      <c r="A22" s="272">
        <v>20</v>
      </c>
      <c r="B22" s="273">
        <v>1.3</v>
      </c>
      <c r="C22" s="274">
        <v>2.25</v>
      </c>
      <c r="D22" s="274">
        <v>3.05</v>
      </c>
      <c r="E22" s="274">
        <v>3.75</v>
      </c>
      <c r="F22" s="274">
        <v>4.4000000000000004</v>
      </c>
      <c r="G22" s="274">
        <v>5.05</v>
      </c>
      <c r="H22" s="274">
        <v>5.65</v>
      </c>
      <c r="I22" s="274">
        <v>6.2</v>
      </c>
      <c r="J22" s="274">
        <v>6.75</v>
      </c>
      <c r="K22" s="274">
        <v>7.25</v>
      </c>
      <c r="L22" s="274">
        <v>7.75</v>
      </c>
      <c r="M22" s="274">
        <v>8.1999999999999993</v>
      </c>
      <c r="N22" s="274">
        <v>8.65</v>
      </c>
      <c r="O22" s="274">
        <v>9.0500000000000007</v>
      </c>
      <c r="P22" s="274">
        <v>9.4499999999999993</v>
      </c>
      <c r="Q22" s="274">
        <v>9.85</v>
      </c>
      <c r="R22" s="284">
        <v>10.199999999999999</v>
      </c>
      <c r="S22" s="284">
        <v>10.5</v>
      </c>
      <c r="T22" s="284">
        <v>10.8</v>
      </c>
      <c r="U22" s="284">
        <v>11.1</v>
      </c>
      <c r="V22" s="282">
        <f t="array" ref="V22:Z22">TRANSPOSE(U23:U27)</f>
        <v>11.6</v>
      </c>
      <c r="W22" s="282">
        <v>12.1</v>
      </c>
      <c r="X22" s="282">
        <v>12.4</v>
      </c>
      <c r="Y22" s="282">
        <v>12.7</v>
      </c>
      <c r="Z22" s="283">
        <v>12.9</v>
      </c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</row>
    <row r="23" spans="1:53" ht="17.25" customHeight="1" x14ac:dyDescent="0.3">
      <c r="A23" s="268">
        <v>22</v>
      </c>
      <c r="B23" s="289">
        <v>1.3</v>
      </c>
      <c r="C23" s="290">
        <v>2.25</v>
      </c>
      <c r="D23" s="290">
        <v>3.05</v>
      </c>
      <c r="E23" s="290">
        <v>3.8</v>
      </c>
      <c r="F23" s="290">
        <v>4.45</v>
      </c>
      <c r="G23" s="290">
        <v>5.0999999999999996</v>
      </c>
      <c r="H23" s="290">
        <v>5.75</v>
      </c>
      <c r="I23" s="290">
        <v>6.3</v>
      </c>
      <c r="J23" s="290">
        <v>6.85</v>
      </c>
      <c r="K23" s="290">
        <v>7.4</v>
      </c>
      <c r="L23" s="290">
        <v>7.9</v>
      </c>
      <c r="M23" s="290">
        <v>8.4</v>
      </c>
      <c r="N23" s="290">
        <v>8.9</v>
      </c>
      <c r="O23" s="290">
        <v>9.35</v>
      </c>
      <c r="P23" s="290">
        <v>9.75</v>
      </c>
      <c r="Q23" s="291">
        <v>10.199999999999999</v>
      </c>
      <c r="R23" s="291">
        <v>10.6</v>
      </c>
      <c r="S23" s="291">
        <v>11</v>
      </c>
      <c r="T23" s="291">
        <v>11.3</v>
      </c>
      <c r="U23" s="291">
        <v>11.6</v>
      </c>
      <c r="V23" s="291">
        <v>12.2</v>
      </c>
      <c r="W23" s="286">
        <f t="array" ref="W23:Z23">TRANSPOSE(V24:V27)</f>
        <v>12.7</v>
      </c>
      <c r="X23" s="286">
        <v>13.1</v>
      </c>
      <c r="Y23" s="286">
        <v>13.5</v>
      </c>
      <c r="Z23" s="287">
        <v>13.8</v>
      </c>
    </row>
    <row r="24" spans="1:53" s="104" customFormat="1" ht="17.25" customHeight="1" x14ac:dyDescent="0.3">
      <c r="A24" s="272">
        <v>24</v>
      </c>
      <c r="B24" s="273">
        <v>1.3</v>
      </c>
      <c r="C24" s="274">
        <v>2.25</v>
      </c>
      <c r="D24" s="274">
        <v>3.1</v>
      </c>
      <c r="E24" s="274">
        <v>3.8</v>
      </c>
      <c r="F24" s="274">
        <v>4.5</v>
      </c>
      <c r="G24" s="274">
        <v>5.15</v>
      </c>
      <c r="H24" s="274">
        <v>5.8</v>
      </c>
      <c r="I24" s="274">
        <v>6.4</v>
      </c>
      <c r="J24" s="274">
        <v>6.95</v>
      </c>
      <c r="K24" s="274">
        <v>7.5</v>
      </c>
      <c r="L24" s="274">
        <v>8.0500000000000007</v>
      </c>
      <c r="M24" s="274">
        <v>8.6</v>
      </c>
      <c r="N24" s="274">
        <v>9.1</v>
      </c>
      <c r="O24" s="274">
        <v>9.5500000000000007</v>
      </c>
      <c r="P24" s="284">
        <v>10</v>
      </c>
      <c r="Q24" s="284">
        <v>10.5</v>
      </c>
      <c r="R24" s="284">
        <v>10.9</v>
      </c>
      <c r="S24" s="284">
        <v>11.3</v>
      </c>
      <c r="T24" s="284">
        <v>11.7</v>
      </c>
      <c r="U24" s="284">
        <v>12.1</v>
      </c>
      <c r="V24" s="284">
        <v>12.7</v>
      </c>
      <c r="W24" s="284">
        <v>13.3</v>
      </c>
      <c r="X24" s="282">
        <f t="array" ref="X24:Z24">TRANSPOSE(W25:W27)</f>
        <v>13.8</v>
      </c>
      <c r="Y24" s="282">
        <v>14.2</v>
      </c>
      <c r="Z24" s="283">
        <v>14.6</v>
      </c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</row>
    <row r="25" spans="1:53" ht="17.25" customHeight="1" x14ac:dyDescent="0.3">
      <c r="A25" s="268">
        <v>26</v>
      </c>
      <c r="B25" s="289">
        <v>1.3</v>
      </c>
      <c r="C25" s="290">
        <v>2.25</v>
      </c>
      <c r="D25" s="290">
        <v>3.1</v>
      </c>
      <c r="E25" s="290">
        <v>3.85</v>
      </c>
      <c r="F25" s="290">
        <v>4.55</v>
      </c>
      <c r="G25" s="290">
        <v>5.2</v>
      </c>
      <c r="H25" s="290">
        <v>5.85</v>
      </c>
      <c r="I25" s="290">
        <v>6.45</v>
      </c>
      <c r="J25" s="290">
        <v>7.05</v>
      </c>
      <c r="K25" s="290">
        <v>7.6</v>
      </c>
      <c r="L25" s="290">
        <v>8.1999999999999993</v>
      </c>
      <c r="M25" s="290">
        <v>8.6999999999999993</v>
      </c>
      <c r="N25" s="290">
        <v>9.25</v>
      </c>
      <c r="O25" s="290">
        <v>9.6999999999999993</v>
      </c>
      <c r="P25" s="291">
        <v>10.199999999999999</v>
      </c>
      <c r="Q25" s="291">
        <v>10.7</v>
      </c>
      <c r="R25" s="291">
        <v>11.2</v>
      </c>
      <c r="S25" s="291">
        <v>11.6</v>
      </c>
      <c r="T25" s="291">
        <v>12</v>
      </c>
      <c r="U25" s="291">
        <v>12.4</v>
      </c>
      <c r="V25" s="291">
        <v>13.1</v>
      </c>
      <c r="W25" s="291">
        <v>13.8</v>
      </c>
      <c r="X25" s="291">
        <v>14.4</v>
      </c>
      <c r="Y25" s="286">
        <f t="array" ref="Y25:Z25">TRANSPOSE(X26:X27)</f>
        <v>14.9</v>
      </c>
      <c r="Z25" s="287">
        <v>15.3</v>
      </c>
    </row>
    <row r="26" spans="1:53" s="104" customFormat="1" ht="17.25" customHeight="1" x14ac:dyDescent="0.3">
      <c r="A26" s="272">
        <v>28</v>
      </c>
      <c r="B26" s="273">
        <v>1.35</v>
      </c>
      <c r="C26" s="274">
        <v>2.2999999999999998</v>
      </c>
      <c r="D26" s="274">
        <v>3.1</v>
      </c>
      <c r="E26" s="274">
        <v>3.85</v>
      </c>
      <c r="F26" s="274">
        <v>4.55</v>
      </c>
      <c r="G26" s="274">
        <v>5.25</v>
      </c>
      <c r="H26" s="274">
        <v>5.9</v>
      </c>
      <c r="I26" s="274">
        <v>6.5</v>
      </c>
      <c r="J26" s="274">
        <v>7.1</v>
      </c>
      <c r="K26" s="274">
        <v>7.7</v>
      </c>
      <c r="L26" s="274">
        <v>8.25</v>
      </c>
      <c r="M26" s="274">
        <v>8.8000000000000007</v>
      </c>
      <c r="N26" s="274">
        <v>9.35</v>
      </c>
      <c r="O26" s="274">
        <v>9.85</v>
      </c>
      <c r="P26" s="284">
        <v>10.4</v>
      </c>
      <c r="Q26" s="284">
        <v>10.9</v>
      </c>
      <c r="R26" s="284">
        <v>11.4</v>
      </c>
      <c r="S26" s="284">
        <v>11.8</v>
      </c>
      <c r="T26" s="284">
        <v>12.3</v>
      </c>
      <c r="U26" s="284">
        <v>12.7</v>
      </c>
      <c r="V26" s="284">
        <v>13.5</v>
      </c>
      <c r="W26" s="284">
        <v>14.2</v>
      </c>
      <c r="X26" s="284">
        <v>14.9</v>
      </c>
      <c r="Y26" s="284">
        <v>15.5</v>
      </c>
      <c r="Z26" s="283">
        <f>Y27</f>
        <v>16</v>
      </c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</row>
    <row r="27" spans="1:53" s="36" customFormat="1" ht="17.25" customHeight="1" x14ac:dyDescent="0.3">
      <c r="A27" s="268">
        <v>30</v>
      </c>
      <c r="B27" s="289">
        <v>1.35</v>
      </c>
      <c r="C27" s="290">
        <v>2.2999999999999998</v>
      </c>
      <c r="D27" s="290">
        <v>3.1</v>
      </c>
      <c r="E27" s="290">
        <v>3.85</v>
      </c>
      <c r="F27" s="290">
        <v>4.5999999999999996</v>
      </c>
      <c r="G27" s="290">
        <v>5.25</v>
      </c>
      <c r="H27" s="290">
        <v>5.9</v>
      </c>
      <c r="I27" s="290">
        <v>6.55</v>
      </c>
      <c r="J27" s="290">
        <v>7.15</v>
      </c>
      <c r="K27" s="290">
        <v>7.75</v>
      </c>
      <c r="L27" s="290">
        <v>8.35</v>
      </c>
      <c r="M27" s="290">
        <v>8.9</v>
      </c>
      <c r="N27" s="290">
        <v>9.4499999999999993</v>
      </c>
      <c r="O27" s="291">
        <v>10</v>
      </c>
      <c r="P27" s="291">
        <v>10.5</v>
      </c>
      <c r="Q27" s="291">
        <v>11</v>
      </c>
      <c r="R27" s="291">
        <v>11.5</v>
      </c>
      <c r="S27" s="291">
        <v>12</v>
      </c>
      <c r="T27" s="291">
        <v>12.5</v>
      </c>
      <c r="U27" s="291">
        <v>12.9</v>
      </c>
      <c r="V27" s="291">
        <v>13.8</v>
      </c>
      <c r="W27" s="291">
        <v>14.6</v>
      </c>
      <c r="X27" s="291">
        <v>15.3</v>
      </c>
      <c r="Y27" s="291">
        <v>16</v>
      </c>
      <c r="Z27" s="292">
        <v>16.600000000000001</v>
      </c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</row>
    <row r="28" spans="1:53" s="36" customFormat="1" ht="17.25" customHeight="1" x14ac:dyDescent="0.3">
      <c r="A28" s="33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69"/>
      <c r="M28" s="69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5"/>
      <c r="Y28" s="5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</row>
    <row r="29" spans="1:53" s="36" customFormat="1" ht="17.25" customHeight="1" x14ac:dyDescent="0.3">
      <c r="A29" s="33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69"/>
      <c r="M29" s="69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5"/>
      <c r="Y29" s="5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</row>
    <row r="30" spans="1:53" ht="17.25" customHeight="1" x14ac:dyDescent="0.3">
      <c r="A30" s="33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35"/>
      <c r="M30" s="35"/>
      <c r="N30" s="35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53" ht="17.25" customHeight="1" x14ac:dyDescent="0.3">
      <c r="A31" s="33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35"/>
      <c r="M31" s="35"/>
      <c r="N31" s="35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53" ht="17.25" customHeight="1" x14ac:dyDescent="0.3">
      <c r="A32" s="33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35"/>
      <c r="M32" s="35"/>
      <c r="N32" s="35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7.25" customHeight="1" x14ac:dyDescent="0.3">
      <c r="A33" s="33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35"/>
      <c r="M33" s="35"/>
      <c r="N33" s="35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7.25" customHeight="1" x14ac:dyDescent="0.3">
      <c r="A34" s="33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35"/>
      <c r="M34" s="35"/>
      <c r="N34" s="35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7.25" customHeight="1" x14ac:dyDescent="0.3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3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3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3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39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">
      <c r="H46" s="10"/>
      <c r="I46" s="10"/>
      <c r="J46" s="10"/>
      <c r="K46" s="1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">
      <c r="H47" s="10"/>
      <c r="I47" s="10"/>
      <c r="J47" s="10"/>
      <c r="K47" s="10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">
      <c r="H48" s="10"/>
      <c r="I48" s="10"/>
      <c r="J48" s="10"/>
      <c r="K48" s="1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8:25" x14ac:dyDescent="0.3">
      <c r="H49" s="10"/>
      <c r="I49" s="10"/>
      <c r="J49" s="10"/>
      <c r="K49" s="1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8:25" x14ac:dyDescent="0.3">
      <c r="H50" s="10"/>
      <c r="I50" s="10"/>
      <c r="J50" s="10"/>
      <c r="K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8:25" x14ac:dyDescent="0.3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8:25" x14ac:dyDescent="0.3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8:25" x14ac:dyDescent="0.3">
      <c r="H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8:25" x14ac:dyDescent="0.3">
      <c r="H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8:25" x14ac:dyDescent="0.3">
      <c r="H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8:25" x14ac:dyDescent="0.3">
      <c r="H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8:25" x14ac:dyDescent="0.3">
      <c r="H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8:25" x14ac:dyDescent="0.3"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8:25" x14ac:dyDescent="0.3"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8:25" x14ac:dyDescent="0.3"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8:25" x14ac:dyDescent="0.3"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8:25" x14ac:dyDescent="0.3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8:25" x14ac:dyDescent="0.3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8:25" x14ac:dyDescent="0.3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3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3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3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3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3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3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3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3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3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3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3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3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3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3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3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3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3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3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3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3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3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3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3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3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3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3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3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3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3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3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3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3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3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3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3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3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3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3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3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3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3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3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3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3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3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3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3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3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3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3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3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3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3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3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3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3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3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3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3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3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3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3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3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3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3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3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3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3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3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3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3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3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3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3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</sheetData>
  <mergeCells count="3">
    <mergeCell ref="A1:Z1"/>
    <mergeCell ref="AB9:AD9"/>
    <mergeCell ref="AB11:AD11"/>
  </mergeCells>
  <phoneticPr fontId="0" type="noConversion"/>
  <printOptions horizontalCentered="1"/>
  <pageMargins left="0.51" right="0.49" top="0.93" bottom="0.56000000000000005" header="0.35" footer="0.32"/>
  <pageSetup orientation="landscape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100 kVp data</vt:lpstr>
      <vt:lpstr>250 kVp data</vt:lpstr>
      <vt:lpstr>60Co PDD</vt:lpstr>
      <vt:lpstr>60Co TMR</vt:lpstr>
      <vt:lpstr>60Co outputs</vt:lpstr>
      <vt:lpstr>6 MV PDD</vt:lpstr>
      <vt:lpstr>6 MV TMR</vt:lpstr>
      <vt:lpstr>10 MV PDD</vt:lpstr>
      <vt:lpstr>10 MV TMR</vt:lpstr>
      <vt:lpstr>15 MV PDD</vt:lpstr>
      <vt:lpstr>15 MV TMR</vt:lpstr>
      <vt:lpstr>18 MV PDD</vt:lpstr>
      <vt:lpstr>18 MV TMR</vt:lpstr>
      <vt:lpstr>Linac outputs</vt:lpstr>
      <vt:lpstr>eq squares</vt:lpstr>
      <vt:lpstr>eq radii</vt:lpstr>
      <vt:lpstr>'10 MV PDD'!Print_Area</vt:lpstr>
      <vt:lpstr>'10 MV TMR'!Print_Area</vt:lpstr>
      <vt:lpstr>'100 kVp data'!Print_Area</vt:lpstr>
      <vt:lpstr>'15 MV PDD'!Print_Area</vt:lpstr>
      <vt:lpstr>'15 MV TMR'!Print_Area</vt:lpstr>
      <vt:lpstr>'18 MV PDD'!Print_Area</vt:lpstr>
      <vt:lpstr>'18 MV TMR'!Print_Area</vt:lpstr>
      <vt:lpstr>'250 kVp data'!Print_Area</vt:lpstr>
      <vt:lpstr>'6 MV PDD'!Print_Area</vt:lpstr>
      <vt:lpstr>'6 MV TMR'!Print_Area</vt:lpstr>
      <vt:lpstr>'60Co outputs'!Print_Area</vt:lpstr>
      <vt:lpstr>'60Co PDD'!Print_Area</vt:lpstr>
      <vt:lpstr>'60Co TMR'!Print_Area</vt:lpstr>
      <vt:lpstr>'eq radii'!Print_Area</vt:lpstr>
      <vt:lpstr>'eq squares'!Print_Area</vt:lpstr>
      <vt:lpstr>'Linac outputs'!Print_Area</vt:lpstr>
    </vt:vector>
  </TitlesOfParts>
  <Company>Microsoft Office XP 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Ingrid Spadinger</dc:creator>
  <cp:lastModifiedBy>Luke Polson</cp:lastModifiedBy>
  <cp:lastPrinted>2011-01-21T17:10:34Z</cp:lastPrinted>
  <dcterms:created xsi:type="dcterms:W3CDTF">2005-08-14T17:37:43Z</dcterms:created>
  <dcterms:modified xsi:type="dcterms:W3CDTF">2022-03-16T21:27:22Z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1594557840</vt:i4>
  </property>
  <property fmtid="{D5CDD505-2E9C-101B-9397-08002B2CF9AE}" pid="3" name="_NewReviewCycle">
    <vt:lpwstr/>
  </property>
  <property fmtid="{D5CDD505-2E9C-101B-9397-08002B2CF9AE}" pid="4" name="_EmailSubject">
    <vt:lpwstr>Phys 535 notes for today</vt:lpwstr>
  </property>
  <property fmtid="{D5CDD505-2E9C-101B-9397-08002B2CF9AE}" pid="5" name="_AuthorEmail">
    <vt:lpwstr>ispading@bccancer.bc.ca</vt:lpwstr>
  </property>
  <property fmtid="{D5CDD505-2E9C-101B-9397-08002B2CF9AE}" pid="6" name="_AuthorEmailDisplayName">
    <vt:lpwstr>Spadinger, Ingrid</vt:lpwstr>
  </property>
  <property fmtid="{D5CDD505-2E9C-101B-9397-08002B2CF9AE}" pid="7" name="_PreviousAdHocReviewCycleID">
    <vt:i4>-321426093</vt:i4>
  </property>
  <property fmtid="{D5CDD505-2E9C-101B-9397-08002B2CF9AE}" pid="8" name="_ReviewingToolsShownOnce">
    <vt:lpwstr/>
  </property>
</Properties>
</file>