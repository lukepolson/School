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eaching\Phys 535\Sample data\"/>
    </mc:Choice>
  </mc:AlternateContent>
  <xr:revisionPtr revIDLastSave="0" documentId="13_ncr:1_{C6B0E2A7-F649-41CB-A1B9-E08BCED5C0C0}" xr6:coauthVersionLast="47" xr6:coauthVersionMax="47" xr10:uidLastSave="{00000000-0000-0000-0000-000000000000}"/>
  <bookViews>
    <workbookView xWindow="-108" yWindow="-108" windowWidth="30936" windowHeight="16896" tabRatio="863" activeTab="3" xr2:uid="{00000000-000D-0000-FFFF-FFFF00000000}"/>
  </bookViews>
  <sheets>
    <sheet name="6 MeV PDD" sheetId="58" r:id="rId1"/>
    <sheet name="9 MeV PDD" sheetId="69" r:id="rId2"/>
    <sheet name=" 12-20 MeV PDD" sheetId="70" r:id="rId3"/>
    <sheet name="6 MeV Output" sheetId="60" r:id="rId4"/>
    <sheet name="9 MeV Output" sheetId="65" r:id="rId5"/>
    <sheet name="12 MeV Output" sheetId="66" r:id="rId6"/>
    <sheet name="16 MeV Output" sheetId="67" r:id="rId7"/>
    <sheet name="20 MeV Output" sheetId="68" r:id="rId8"/>
    <sheet name="6 MeV Obliquity Factors" sheetId="54" r:id="rId9"/>
    <sheet name="9 MeV Obliquity Factors" sheetId="55" r:id="rId10"/>
    <sheet name="12 MeV Obliquity Factors" sheetId="56" r:id="rId11"/>
    <sheet name="16 MeV Obliquity Factors" sheetId="53" r:id="rId12"/>
    <sheet name="20 MeV Obliquity Factors" sheetId="57" r:id="rId13"/>
  </sheets>
  <functionGroups builtInGroupCount="19"/>
  <definedNames>
    <definedName name="_xlnm.Print_Area" localSheetId="2">' 12-20 MeV PDD'!$A$1:$D$36</definedName>
    <definedName name="_xlnm.Print_Area" localSheetId="0">'6 MeV PDD'!$A$1:$D$28</definedName>
    <definedName name="_xlnm.Print_Area" localSheetId="1">'9 MeV PDD'!$A$1:$C$29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57" l="1"/>
  <c r="J10" i="57" s="1"/>
  <c r="G10" i="53"/>
  <c r="J10" i="53" s="1"/>
  <c r="G10" i="56"/>
  <c r="J10" i="56" s="1"/>
  <c r="G10" i="55"/>
  <c r="J10" i="55" s="1"/>
  <c r="G10" i="54"/>
  <c r="M8" i="65"/>
  <c r="M9" i="65"/>
  <c r="M10" i="65"/>
  <c r="M11" i="65"/>
  <c r="M12" i="65"/>
  <c r="M13" i="65"/>
  <c r="M14" i="65"/>
  <c r="M15" i="65"/>
  <c r="M16" i="65"/>
  <c r="M17" i="65"/>
  <c r="M8" i="66"/>
  <c r="M9" i="66"/>
  <c r="M10" i="66"/>
  <c r="M11" i="66"/>
  <c r="M12" i="66"/>
  <c r="M13" i="66"/>
  <c r="M14" i="66"/>
  <c r="M15" i="66"/>
  <c r="M16" i="66"/>
  <c r="M17" i="66"/>
  <c r="M8" i="67"/>
  <c r="M9" i="67"/>
  <c r="M10" i="67"/>
  <c r="M11" i="67"/>
  <c r="M12" i="67"/>
  <c r="M13" i="67"/>
  <c r="M14" i="67"/>
  <c r="M15" i="67"/>
  <c r="M16" i="67"/>
  <c r="M17" i="67"/>
  <c r="M8" i="68"/>
  <c r="M9" i="68"/>
  <c r="M10" i="68"/>
  <c r="M11" i="68"/>
  <c r="M12" i="68"/>
  <c r="M13" i="68"/>
  <c r="M14" i="68"/>
  <c r="M15" i="68"/>
  <c r="M16" i="68"/>
  <c r="M17" i="68"/>
  <c r="M8" i="60"/>
  <c r="M9" i="60"/>
  <c r="M10" i="60"/>
  <c r="M11" i="60"/>
  <c r="M12" i="60"/>
  <c r="M13" i="60"/>
  <c r="M14" i="60"/>
  <c r="M15" i="60"/>
  <c r="M16" i="60"/>
  <c r="M17" i="60"/>
  <c r="M7" i="65"/>
  <c r="M7" i="66"/>
  <c r="M7" i="67"/>
  <c r="M7" i="68"/>
  <c r="M7" i="60"/>
  <c r="J10" i="54"/>
  <c r="K10" i="53"/>
  <c r="S12" i="68"/>
  <c r="R17" i="68"/>
  <c r="S7" i="65"/>
  <c r="K10" i="57"/>
  <c r="S7" i="68"/>
  <c r="R17" i="67"/>
  <c r="K10" i="54"/>
  <c r="S12" i="60"/>
  <c r="G12" i="69"/>
  <c r="R17" i="65"/>
  <c r="M11" i="70"/>
  <c r="S12" i="67"/>
  <c r="R17" i="66"/>
  <c r="H12" i="58"/>
  <c r="S7" i="66"/>
  <c r="S12" i="65"/>
  <c r="G11" i="70"/>
  <c r="R17" i="60"/>
  <c r="S7" i="67"/>
  <c r="S7" i="60"/>
  <c r="J11" i="70"/>
  <c r="S12" i="66"/>
  <c r="K10" i="56"/>
  <c r="K10" i="55" l="1"/>
</calcChain>
</file>

<file path=xl/sharedStrings.xml><?xml version="1.0" encoding="utf-8"?>
<sst xmlns="http://schemas.openxmlformats.org/spreadsheetml/2006/main" count="283" uniqueCount="75">
  <si>
    <t xml:space="preserve">Energy (MeV) </t>
  </si>
  <si>
    <t>obliquity factor</t>
  </si>
  <si>
    <t>1.8 - 3.8</t>
  </si>
  <si>
    <t>1.4 - 4.0</t>
  </si>
  <si>
    <t>alter violet cells only</t>
  </si>
  <si>
    <t>Interpolate PDD</t>
  </si>
  <si>
    <t>PDD</t>
  </si>
  <si>
    <t>Interpolate</t>
  </si>
  <si>
    <t>Angle of Obliquity (deg)</t>
  </si>
  <si>
    <t>Percent Depth Dose</t>
  </si>
  <si>
    <t>d</t>
  </si>
  <si>
    <r>
      <t>d/R</t>
    </r>
    <r>
      <rPr>
        <b/>
        <i/>
        <vertAlign val="subscript"/>
        <sz val="10"/>
        <rFont val="Arial"/>
        <family val="2"/>
      </rPr>
      <t>p</t>
    </r>
  </si>
  <si>
    <t>12 MeV</t>
  </si>
  <si>
    <t>16 MeV</t>
  </si>
  <si>
    <t>20 MeV</t>
  </si>
  <si>
    <r>
      <t>R</t>
    </r>
    <r>
      <rPr>
        <b/>
        <i/>
        <vertAlign val="subscript"/>
        <sz val="10"/>
        <rFont val="Arial"/>
        <family val="2"/>
      </rPr>
      <t>p</t>
    </r>
  </si>
  <si>
    <r>
      <t xml:space="preserve">r </t>
    </r>
    <r>
      <rPr>
        <b/>
        <sz val="11"/>
        <color indexed="9"/>
        <rFont val="Arial"/>
        <family val="2"/>
      </rPr>
      <t>(cm)</t>
    </r>
  </si>
  <si>
    <t>r</t>
  </si>
  <si>
    <t>6 MeV Electrons</t>
  </si>
  <si>
    <t>Output Factors and Inverse Square Correction Factors</t>
  </si>
  <si>
    <t>100 cm SSD Applicator and Insert Factors</t>
  </si>
  <si>
    <r>
      <t>f</t>
    </r>
    <r>
      <rPr>
        <b/>
        <i/>
        <vertAlign val="subscript"/>
        <sz val="11"/>
        <rFont val="Arial"/>
        <family val="2"/>
      </rPr>
      <t>air</t>
    </r>
  </si>
  <si>
    <r>
      <t>SSD</t>
    </r>
    <r>
      <rPr>
        <b/>
        <vertAlign val="subscript"/>
        <sz val="11"/>
        <rFont val="Arial"/>
        <family val="2"/>
      </rPr>
      <t>eff</t>
    </r>
  </si>
  <si>
    <r>
      <rPr>
        <b/>
        <i/>
        <sz val="12"/>
        <rFont val="Arial"/>
        <family val="2"/>
      </rPr>
      <t>S</t>
    </r>
    <r>
      <rPr>
        <b/>
        <i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(</t>
    </r>
    <r>
      <rPr>
        <b/>
        <i/>
        <sz val="12"/>
        <rFont val="Arial"/>
        <family val="2"/>
      </rPr>
      <t>r</t>
    </r>
    <r>
      <rPr>
        <b/>
        <i/>
        <vertAlign val="subscript"/>
        <sz val="12"/>
        <rFont val="Arial"/>
        <family val="2"/>
      </rPr>
      <t>a</t>
    </r>
    <r>
      <rPr>
        <b/>
        <i/>
        <sz val="12"/>
        <rFont val="Arial"/>
        <family val="2"/>
      </rPr>
      <t>,r</t>
    </r>
    <r>
      <rPr>
        <b/>
        <sz val="12"/>
        <rFont val="Arial"/>
        <family val="2"/>
      </rPr>
      <t>) =</t>
    </r>
  </si>
  <si>
    <t>Applicator Factor × Insert Factor</t>
  </si>
  <si>
    <t>9 MeV Electrons</t>
  </si>
  <si>
    <t>12 MeV Electrons</t>
  </si>
  <si>
    <t>16 MeV Electrons</t>
  </si>
  <si>
    <t>20 MeV Electrons</t>
  </si>
  <si>
    <t>6 MeV electrons</t>
  </si>
  <si>
    <t>Obliquity Factors</t>
  </si>
  <si>
    <t>20 MeV electrons</t>
  </si>
  <si>
    <t>16 MeV electrons</t>
  </si>
  <si>
    <t>12 MeV electrons</t>
  </si>
  <si>
    <t>9 MeV electrons</t>
  </si>
  <si>
    <t>Machine Output:</t>
  </si>
  <si>
    <r>
      <t>side of square</t>
    </r>
    <r>
      <rPr>
        <b/>
        <sz val="11"/>
        <color indexed="10"/>
        <rFont val="Arial"/>
        <family val="2"/>
      </rPr>
      <t>*</t>
    </r>
    <r>
      <rPr>
        <b/>
        <sz val="11"/>
        <rFont val="Arial"/>
        <family val="2"/>
      </rPr>
      <t xml:space="preserve"> (cm)</t>
    </r>
  </si>
  <si>
    <r>
      <t>side of square insert</t>
    </r>
    <r>
      <rPr>
        <b/>
        <sz val="11"/>
        <color indexed="10"/>
        <rFont val="Arial"/>
        <family val="2"/>
      </rPr>
      <t>*</t>
    </r>
    <r>
      <rPr>
        <b/>
        <sz val="11"/>
        <rFont val="Arial"/>
        <family val="2"/>
      </rPr>
      <t xml:space="preserve"> (cm)</t>
    </r>
  </si>
  <si>
    <r>
      <t>For rectangular field sizes, use the square root method to find f</t>
    </r>
    <r>
      <rPr>
        <i/>
        <vertAlign val="subscript"/>
        <sz val="11"/>
        <rFont val="Arial"/>
        <family val="2"/>
      </rPr>
      <t xml:space="preserve">air </t>
    </r>
    <r>
      <rPr>
        <i/>
        <sz val="11"/>
        <rFont val="Arial"/>
        <family val="2"/>
      </rPr>
      <t xml:space="preserve">or </t>
    </r>
    <r>
      <rPr>
        <sz val="11"/>
        <rFont val="Arial"/>
        <family val="2"/>
      </rPr>
      <t>SSD</t>
    </r>
    <r>
      <rPr>
        <vertAlign val="subscript"/>
        <sz val="11"/>
        <rFont val="Arial"/>
        <family val="2"/>
      </rPr>
      <t>eff</t>
    </r>
  </si>
  <si>
    <t>SSDeff</t>
  </si>
  <si>
    <t>Interpolate:</t>
  </si>
  <si>
    <t>Insert Factors</t>
  </si>
  <si>
    <t>Applicator Size (side of square, cm)</t>
  </si>
  <si>
    <t>Applicator Size</t>
  </si>
  <si>
    <t>Insert Size</t>
  </si>
  <si>
    <t>Insert Factor</t>
  </si>
  <si>
    <t>(alter violet cells only)</t>
  </si>
  <si>
    <r>
      <rPr>
        <b/>
        <i/>
        <sz val="10"/>
        <rFont val="Arial"/>
        <family val="2"/>
      </rPr>
      <t>f</t>
    </r>
    <r>
      <rPr>
        <b/>
        <i/>
        <vertAlign val="subscript"/>
        <sz val="10"/>
        <rFont val="Arial"/>
        <family val="2"/>
      </rPr>
      <t>air</t>
    </r>
  </si>
  <si>
    <r>
      <t>f</t>
    </r>
    <r>
      <rPr>
        <b/>
        <i/>
        <vertAlign val="subscript"/>
        <sz val="10"/>
        <rFont val="Arial"/>
        <family val="2"/>
      </rPr>
      <t>air</t>
    </r>
  </si>
  <si>
    <t>side of square</t>
  </si>
  <si>
    <t>nom SSD</t>
  </si>
  <si>
    <r>
      <t>SSD</t>
    </r>
    <r>
      <rPr>
        <b/>
        <vertAlign val="subscript"/>
        <sz val="10"/>
        <rFont val="Arial"/>
        <family val="2"/>
      </rPr>
      <t>eff</t>
    </r>
  </si>
  <si>
    <r>
      <t>d</t>
    </r>
    <r>
      <rPr>
        <b/>
        <i/>
        <vertAlign val="subscript"/>
        <sz val="10"/>
        <rFont val="Arial"/>
        <family val="2"/>
      </rPr>
      <t>m</t>
    </r>
    <r>
      <rPr>
        <b/>
        <i/>
        <sz val="10"/>
        <rFont val="Arial"/>
        <family val="2"/>
      </rPr>
      <t xml:space="preserve"> </t>
    </r>
    <r>
      <rPr>
        <b/>
        <sz val="10"/>
        <rFont val="Arial"/>
        <family val="2"/>
      </rPr>
      <t>(cm)</t>
    </r>
  </si>
  <si>
    <r>
      <t>d</t>
    </r>
    <r>
      <rPr>
        <b/>
        <sz val="10"/>
        <rFont val="Arial"/>
        <family val="2"/>
      </rPr>
      <t>(cm)</t>
    </r>
  </si>
  <si>
    <r>
      <t>R</t>
    </r>
    <r>
      <rPr>
        <b/>
        <i/>
        <vertAlign val="subscript"/>
        <sz val="10"/>
        <rFont val="Arial"/>
        <family val="2"/>
      </rPr>
      <t>p</t>
    </r>
    <r>
      <rPr>
        <b/>
        <i/>
        <sz val="10"/>
        <rFont val="Arial"/>
        <family val="2"/>
      </rPr>
      <t xml:space="preserve"> (cm)</t>
    </r>
  </si>
  <si>
    <r>
      <rPr>
        <b/>
        <sz val="11"/>
        <color indexed="9"/>
        <rFont val="Symbol"/>
        <family val="1"/>
        <charset val="2"/>
      </rPr>
      <t>³</t>
    </r>
    <r>
      <rPr>
        <b/>
        <sz val="11"/>
        <color indexed="9"/>
        <rFont val="Arial"/>
        <family val="2"/>
      </rPr>
      <t xml:space="preserve"> 4</t>
    </r>
  </si>
  <si>
    <r>
      <rPr>
        <b/>
        <sz val="11"/>
        <color indexed="9"/>
        <rFont val="Symbol"/>
        <family val="1"/>
        <charset val="2"/>
      </rPr>
      <t>³</t>
    </r>
    <r>
      <rPr>
        <b/>
        <sz val="11"/>
        <color indexed="9"/>
        <rFont val="Arial"/>
        <family val="2"/>
      </rPr>
      <t xml:space="preserve"> 5 </t>
    </r>
  </si>
  <si>
    <t>12-20 MeV electrons</t>
  </si>
  <si>
    <r>
      <rPr>
        <i/>
        <sz val="11"/>
        <rFont val="Arial"/>
        <family val="2"/>
      </rPr>
      <t>Applicator Factor, S</t>
    </r>
    <r>
      <rPr>
        <i/>
        <vertAlign val="subscript"/>
        <sz val="11"/>
        <rFont val="Arial"/>
        <family val="2"/>
      </rPr>
      <t>a</t>
    </r>
    <r>
      <rPr>
        <sz val="11"/>
        <rFont val="Arial"/>
        <family val="2"/>
      </rPr>
      <t>(</t>
    </r>
    <r>
      <rPr>
        <i/>
        <sz val="11"/>
        <rFont val="Arial"/>
        <family val="2"/>
      </rPr>
      <t>r</t>
    </r>
    <r>
      <rPr>
        <i/>
        <vertAlign val="subscript"/>
        <sz val="11"/>
        <rFont val="Arial"/>
        <family val="2"/>
      </rPr>
      <t>a</t>
    </r>
    <r>
      <rPr>
        <i/>
        <sz val="11"/>
        <rFont val="Arial"/>
        <family val="2"/>
      </rPr>
      <t>, E</t>
    </r>
    <r>
      <rPr>
        <sz val="11"/>
        <rFont val="Arial"/>
        <family val="2"/>
      </rPr>
      <t xml:space="preserve">) </t>
    </r>
  </si>
  <si>
    <r>
      <t>Applicator Factor, S</t>
    </r>
    <r>
      <rPr>
        <i/>
        <vertAlign val="subscript"/>
        <sz val="11"/>
        <rFont val="Arial"/>
        <family val="2"/>
      </rPr>
      <t>a</t>
    </r>
    <r>
      <rPr>
        <sz val="11"/>
        <rFont val="Arial"/>
        <family val="2"/>
      </rPr>
      <t>(</t>
    </r>
    <r>
      <rPr>
        <i/>
        <sz val="11"/>
        <rFont val="Arial"/>
        <family val="2"/>
      </rPr>
      <t>r</t>
    </r>
    <r>
      <rPr>
        <i/>
        <vertAlign val="subscript"/>
        <sz val="11"/>
        <rFont val="Arial"/>
        <family val="2"/>
      </rPr>
      <t>a</t>
    </r>
    <r>
      <rPr>
        <i/>
        <sz val="11"/>
        <rFont val="Arial"/>
        <family val="2"/>
      </rPr>
      <t>, E</t>
    </r>
    <r>
      <rPr>
        <sz val="11"/>
        <rFont val="Arial"/>
        <family val="2"/>
      </rPr>
      <t xml:space="preserve">) </t>
    </r>
  </si>
  <si>
    <r>
      <rPr>
        <b/>
        <sz val="14"/>
        <color indexed="10"/>
        <rFont val="Arial"/>
        <family val="2"/>
      </rPr>
      <t xml:space="preserve"> </t>
    </r>
    <r>
      <rPr>
        <b/>
        <sz val="14"/>
        <rFont val="Arial"/>
        <family val="2"/>
      </rPr>
      <t xml:space="preserve">   SSD</t>
    </r>
    <r>
      <rPr>
        <b/>
        <vertAlign val="subscript"/>
        <sz val="14"/>
        <rFont val="Arial"/>
        <family val="2"/>
      </rPr>
      <t>0</t>
    </r>
    <r>
      <rPr>
        <b/>
        <sz val="14"/>
        <rFont val="Arial"/>
        <family val="2"/>
      </rPr>
      <t xml:space="preserve"> = 100 cm</t>
    </r>
  </si>
  <si>
    <r>
      <t xml:space="preserve"> </t>
    </r>
    <r>
      <rPr>
        <b/>
        <sz val="14"/>
        <rFont val="Arial"/>
        <family val="2"/>
      </rPr>
      <t xml:space="preserve">   SSD</t>
    </r>
    <r>
      <rPr>
        <b/>
        <vertAlign val="subscript"/>
        <sz val="14"/>
        <rFont val="Arial"/>
        <family val="2"/>
      </rPr>
      <t>0</t>
    </r>
    <r>
      <rPr>
        <b/>
        <sz val="14"/>
        <rFont val="Arial"/>
        <family val="2"/>
      </rPr>
      <t xml:space="preserve"> = 100 cm</t>
    </r>
  </si>
  <si>
    <r>
      <rPr>
        <b/>
        <i/>
        <sz val="12"/>
        <rFont val="Arial"/>
        <family val="2"/>
      </rPr>
      <t>R</t>
    </r>
    <r>
      <rPr>
        <b/>
        <i/>
        <vertAlign val="subscript"/>
        <sz val="12"/>
        <rFont val="Arial"/>
        <family val="2"/>
      </rPr>
      <t>p</t>
    </r>
    <r>
      <rPr>
        <b/>
        <sz val="12"/>
        <rFont val="Arial"/>
        <family val="2"/>
      </rPr>
      <t xml:space="preserve"> (cm) =</t>
    </r>
  </si>
  <si>
    <t>angle (deg)</t>
  </si>
  <si>
    <t xml:space="preserve">* </t>
  </si>
  <si>
    <t xml:space="preserve">** </t>
  </si>
  <si>
    <r>
      <t xml:space="preserve">1.000 cGy/MU at </t>
    </r>
    <r>
      <rPr>
        <i/>
        <sz val="12"/>
        <rFont val="Arial"/>
        <family val="2"/>
      </rPr>
      <t>d</t>
    </r>
    <r>
      <rPr>
        <i/>
        <vertAlign val="subscript"/>
        <sz val="12"/>
        <rFont val="Arial"/>
        <family val="2"/>
      </rPr>
      <t>m</t>
    </r>
    <r>
      <rPr>
        <sz val="12"/>
        <rFont val="Arial"/>
        <family val="2"/>
      </rPr>
      <t xml:space="preserve"> and SSD</t>
    </r>
    <r>
      <rPr>
        <vertAlign val="subscript"/>
        <sz val="12"/>
        <rFont val="Arial"/>
        <family val="2"/>
      </rPr>
      <t>0</t>
    </r>
    <r>
      <rPr>
        <sz val="12"/>
        <rFont val="Arial"/>
        <family val="2"/>
      </rPr>
      <t>, for the 10 cm × 10 cm insert in the 10 cm × 10 cm Applicator</t>
    </r>
  </si>
  <si>
    <r>
      <rPr>
        <sz val="11"/>
        <color rgb="FFFF0000"/>
        <rFont val="Arial"/>
        <family val="2"/>
      </rPr>
      <t>SSD</t>
    </r>
    <r>
      <rPr>
        <vertAlign val="subscript"/>
        <sz val="11"/>
        <color rgb="FFFF0000"/>
        <rFont val="Arial"/>
        <family val="2"/>
      </rPr>
      <t>eff</t>
    </r>
    <r>
      <rPr>
        <i/>
        <sz val="11"/>
        <color rgb="FFFF0000"/>
        <rFont val="Arial"/>
        <family val="2"/>
      </rPr>
      <t xml:space="preserve"> is the distance from the effective electron source position to the plane of the isocenter.</t>
    </r>
  </si>
  <si>
    <r>
      <t>SSD</t>
    </r>
    <r>
      <rPr>
        <vertAlign val="subscript"/>
        <sz val="11"/>
        <color rgb="FFFF0000"/>
        <rFont val="Arial"/>
        <family val="2"/>
      </rPr>
      <t>eff</t>
    </r>
    <r>
      <rPr>
        <i/>
        <sz val="11"/>
        <color rgb="FFFF0000"/>
        <rFont val="Arial"/>
        <family val="2"/>
      </rPr>
      <t xml:space="preserve"> is the distance from the effective electron source position to the plane of the isocenter.</t>
    </r>
  </si>
  <si>
    <r>
      <rPr>
        <sz val="11"/>
        <color rgb="FFFF0000"/>
        <rFont val="Arial"/>
        <family val="2"/>
      </rPr>
      <t>SSD</t>
    </r>
    <r>
      <rPr>
        <i/>
        <sz val="11"/>
        <color rgb="FFFF0000"/>
        <rFont val="Arial"/>
        <family val="2"/>
      </rPr>
      <t xml:space="preserve"> is measured relative to the photon source (i.e. as provided by the treatment unit's SSD readout apparatus).</t>
    </r>
  </si>
  <si>
    <r>
      <t>SSD</t>
    </r>
    <r>
      <rPr>
        <i/>
        <sz val="11"/>
        <color rgb="FFFF0000"/>
        <rFont val="Arial"/>
        <family val="2"/>
      </rPr>
      <t xml:space="preserve"> is measured relative to the photon source (i.e. as provided by the treatment unit's SSD readout apparatus).</t>
    </r>
  </si>
  <si>
    <r>
      <t xml:space="preserve">nominal SSD (cm) </t>
    </r>
    <r>
      <rPr>
        <b/>
        <sz val="11"/>
        <color rgb="FFFF0000"/>
        <rFont val="Arial"/>
        <family val="2"/>
      </rPr>
      <t>**</t>
    </r>
  </si>
  <si>
    <r>
      <t xml:space="preserve">Insert factor, </t>
    </r>
    <r>
      <rPr>
        <b/>
        <i/>
        <sz val="12"/>
        <rFont val="Arial"/>
        <family val="2"/>
      </rPr>
      <t>S</t>
    </r>
    <r>
      <rPr>
        <b/>
        <i/>
        <vertAlign val="subscript"/>
        <sz val="12"/>
        <rFont val="Arial"/>
        <family val="2"/>
      </rPr>
      <t>a,r</t>
    </r>
    <r>
      <rPr>
        <b/>
        <sz val="12"/>
        <rFont val="Arial"/>
        <family val="2"/>
      </rPr>
      <t>(</t>
    </r>
    <r>
      <rPr>
        <b/>
        <i/>
        <sz val="12"/>
        <rFont val="Arial"/>
        <family val="2"/>
      </rPr>
      <t>r</t>
    </r>
    <r>
      <rPr>
        <b/>
        <i/>
        <vertAlign val="subscript"/>
        <sz val="12"/>
        <rFont val="Arial"/>
        <family val="2"/>
      </rPr>
      <t>a</t>
    </r>
    <r>
      <rPr>
        <b/>
        <i/>
        <sz val="12"/>
        <rFont val="Arial"/>
        <family val="2"/>
      </rPr>
      <t>, r, E</t>
    </r>
    <r>
      <rPr>
        <b/>
        <sz val="12"/>
        <rFont val="Arial"/>
        <family val="2"/>
      </rPr>
      <t xml:space="preserve">) </t>
    </r>
  </si>
  <si>
    <r>
      <t xml:space="preserve">Insert sizes are quoted as the nominal dosimetric field dimensions obtained at </t>
    </r>
    <r>
      <rPr>
        <sz val="11"/>
        <color rgb="FFFF0000"/>
        <rFont val="Arial"/>
        <family val="2"/>
      </rPr>
      <t>SSD</t>
    </r>
    <r>
      <rPr>
        <vertAlign val="subscript"/>
        <sz val="11"/>
        <color rgb="FFFF0000"/>
        <rFont val="Arial"/>
        <family val="2"/>
      </rPr>
      <t>0</t>
    </r>
    <r>
      <rPr>
        <i/>
        <sz val="11"/>
        <color rgb="FFFF0000"/>
        <rFont val="Arial"/>
        <family val="2"/>
      </rPr>
      <t xml:space="preserve"> for a given insert.</t>
    </r>
  </si>
  <si>
    <r>
      <t xml:space="preserve"> (all relative outputs are at d</t>
    </r>
    <r>
      <rPr>
        <i/>
        <vertAlign val="subscript"/>
        <sz val="12"/>
        <rFont val="Arial"/>
        <family val="2"/>
      </rPr>
      <t>m</t>
    </r>
    <r>
      <rPr>
        <i/>
        <sz val="12"/>
        <rFont val="Arial"/>
        <family val="2"/>
      </rPr>
      <t xml:space="preserve"> for a given insert size)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</si>
</sst>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4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sz val="11"/>
      <color indexed="9"/>
      <name val="Arial"/>
      <family val="2"/>
    </font>
    <font>
      <b/>
      <sz val="11"/>
      <name val="Arial"/>
      <family val="2"/>
    </font>
    <font>
      <sz val="10"/>
      <color indexed="8"/>
      <name val="Arial"/>
      <family val="2"/>
    </font>
    <font>
      <b/>
      <i/>
      <sz val="11"/>
      <color indexed="9"/>
      <name val="Arial"/>
      <family val="2"/>
    </font>
    <font>
      <b/>
      <sz val="10"/>
      <color indexed="9"/>
      <name val="Arial"/>
      <family val="2"/>
    </font>
    <font>
      <b/>
      <i/>
      <sz val="10"/>
      <name val="Univers Condensed"/>
      <family val="2"/>
    </font>
    <font>
      <sz val="8"/>
      <name val="Arial"/>
      <family val="2"/>
    </font>
    <font>
      <b/>
      <sz val="14"/>
      <color indexed="10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i/>
      <sz val="11"/>
      <name val="Arial"/>
      <family val="2"/>
    </font>
    <font>
      <b/>
      <i/>
      <vertAlign val="subscript"/>
      <sz val="10"/>
      <name val="Arial"/>
      <family val="2"/>
    </font>
    <font>
      <b/>
      <sz val="11"/>
      <color indexed="10"/>
      <name val="Arial"/>
      <family val="2"/>
    </font>
    <font>
      <b/>
      <i/>
      <u/>
      <sz val="10"/>
      <name val="Arial"/>
      <family val="2"/>
    </font>
    <font>
      <sz val="10"/>
      <color indexed="10"/>
      <name val="Arial"/>
      <family val="2"/>
    </font>
    <font>
      <b/>
      <i/>
      <vertAlign val="subscript"/>
      <sz val="11"/>
      <name val="Arial"/>
      <family val="2"/>
    </font>
    <font>
      <i/>
      <sz val="11"/>
      <name val="Arial"/>
      <family val="2"/>
    </font>
    <font>
      <b/>
      <vertAlign val="subscript"/>
      <sz val="11"/>
      <name val="Arial"/>
      <family val="2"/>
    </font>
    <font>
      <i/>
      <vertAlign val="subscript"/>
      <sz val="11"/>
      <name val="Arial"/>
      <family val="2"/>
    </font>
    <font>
      <b/>
      <i/>
      <sz val="12"/>
      <name val="Arial"/>
      <family val="2"/>
    </font>
    <font>
      <b/>
      <i/>
      <vertAlign val="subscript"/>
      <sz val="12"/>
      <name val="Arial"/>
      <family val="2"/>
    </font>
    <font>
      <vertAlign val="subscript"/>
      <sz val="11"/>
      <name val="Arial"/>
      <family val="2"/>
    </font>
    <font>
      <i/>
      <sz val="12"/>
      <name val="Arial"/>
      <family val="2"/>
    </font>
    <font>
      <i/>
      <vertAlign val="subscript"/>
      <sz val="12"/>
      <name val="Arial"/>
      <family val="2"/>
    </font>
    <font>
      <i/>
      <sz val="11"/>
      <color indexed="10"/>
      <name val="Arial"/>
      <family val="2"/>
    </font>
    <font>
      <b/>
      <vertAlign val="subscript"/>
      <sz val="10"/>
      <name val="Arial"/>
      <family val="2"/>
    </font>
    <font>
      <i/>
      <sz val="11"/>
      <color rgb="FFFF0000"/>
      <name val="Arial"/>
      <family val="2"/>
    </font>
    <font>
      <sz val="11"/>
      <color theme="0"/>
      <name val="Arial"/>
      <family val="2"/>
    </font>
    <font>
      <b/>
      <sz val="11"/>
      <color indexed="9"/>
      <name val="Symbol"/>
      <family val="1"/>
      <charset val="2"/>
    </font>
    <font>
      <b/>
      <sz val="16"/>
      <color indexed="10"/>
      <name val="Arial"/>
      <family val="2"/>
    </font>
    <font>
      <sz val="16"/>
      <color indexed="10"/>
      <name val="Arial"/>
      <family val="2"/>
    </font>
    <font>
      <sz val="1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vertAlign val="subscript"/>
      <sz val="14"/>
      <name val="Arial"/>
      <family val="2"/>
    </font>
    <font>
      <b/>
      <sz val="12"/>
      <color indexed="9"/>
      <name val="Arial"/>
      <family val="2"/>
    </font>
    <font>
      <b/>
      <sz val="16"/>
      <color rgb="FFFF0000"/>
      <name val="Arial"/>
      <family val="2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vertAlign val="subscript"/>
      <sz val="11"/>
      <color rgb="FFFF0000"/>
      <name val="Arial"/>
      <family val="2"/>
    </font>
    <font>
      <vertAlign val="subscript"/>
      <sz val="1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CFFCC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42"/>
        <bgColor rgb="FFCCFFCC"/>
      </patternFill>
    </fill>
    <fill>
      <patternFill patternType="solid">
        <fgColor theme="0" tint="-4.9989318521683403E-2"/>
        <bgColor indexed="64"/>
      </patternFill>
    </fill>
  </fills>
  <borders count="69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277">
    <xf numFmtId="0" fontId="0" fillId="0" borderId="0" xfId="0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left" vertical="center"/>
    </xf>
    <xf numFmtId="0" fontId="1" fillId="0" borderId="0" xfId="0" applyFont="1" applyFill="1" applyBorder="1"/>
    <xf numFmtId="164" fontId="1" fillId="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 wrapText="1"/>
    </xf>
    <xf numFmtId="165" fontId="6" fillId="0" borderId="3" xfId="0" applyNumberFormat="1" applyFont="1" applyBorder="1" applyAlignment="1">
      <alignment horizontal="center" wrapText="1"/>
    </xf>
    <xf numFmtId="0" fontId="0" fillId="0" borderId="0" xfId="0" applyAlignment="1"/>
    <xf numFmtId="165" fontId="6" fillId="0" borderId="4" xfId="0" applyNumberFormat="1" applyFont="1" applyBorder="1" applyAlignment="1">
      <alignment horizontal="center" wrapText="1"/>
    </xf>
    <xf numFmtId="0" fontId="8" fillId="0" borderId="3" xfId="0" applyFont="1" applyFill="1" applyBorder="1" applyAlignment="1">
      <alignment horizontal="center" vertical="center" wrapText="1"/>
    </xf>
    <xf numFmtId="0" fontId="0" fillId="0" borderId="6" xfId="0" applyBorder="1"/>
    <xf numFmtId="2" fontId="6" fillId="0" borderId="6" xfId="0" applyNumberFormat="1" applyFont="1" applyBorder="1" applyAlignment="1">
      <alignment horizontal="center" wrapText="1"/>
    </xf>
    <xf numFmtId="165" fontId="6" fillId="0" borderId="6" xfId="0" applyNumberFormat="1" applyFont="1" applyBorder="1" applyAlignment="1">
      <alignment horizontal="center" wrapText="1"/>
    </xf>
    <xf numFmtId="0" fontId="8" fillId="0" borderId="8" xfId="0" applyFont="1" applyFill="1" applyBorder="1" applyAlignment="1">
      <alignment horizontal="center" vertical="center" wrapText="1"/>
    </xf>
    <xf numFmtId="2" fontId="1" fillId="4" borderId="9" xfId="0" applyNumberFormat="1" applyFont="1" applyFill="1" applyBorder="1" applyAlignment="1" applyProtection="1">
      <alignment horizontal="center" vertical="center"/>
      <protection locked="0"/>
    </xf>
    <xf numFmtId="0" fontId="3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 applyProtection="1">
      <alignment horizontal="center" vertical="center"/>
      <protection locked="0"/>
    </xf>
    <xf numFmtId="1" fontId="1" fillId="0" borderId="0" xfId="0" applyNumberFormat="1" applyFont="1" applyFill="1" applyBorder="1" applyAlignment="1" applyProtection="1">
      <alignment horizontal="center" vertical="center"/>
      <protection locked="0"/>
    </xf>
    <xf numFmtId="2" fontId="1" fillId="0" borderId="0" xfId="0" applyNumberFormat="1" applyFont="1" applyFill="1" applyBorder="1" applyAlignment="1">
      <alignment horizontal="center" vertical="center"/>
    </xf>
    <xf numFmtId="1" fontId="1" fillId="4" borderId="1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165" fontId="2" fillId="5" borderId="14" xfId="0" applyNumberFormat="1" applyFont="1" applyFill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165" fontId="2" fillId="5" borderId="18" xfId="0" applyNumberFormat="1" applyFon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165" fontId="2" fillId="5" borderId="25" xfId="0" applyNumberFormat="1" applyFont="1" applyFill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165" fontId="1" fillId="0" borderId="0" xfId="0" applyNumberFormat="1" applyFont="1" applyFill="1" applyBorder="1" applyAlignment="1">
      <alignment horizontal="center" vertical="center"/>
    </xf>
    <xf numFmtId="0" fontId="3" fillId="0" borderId="30" xfId="0" applyFont="1" applyBorder="1" applyAlignment="1">
      <alignment horizontal="center"/>
    </xf>
    <xf numFmtId="164" fontId="2" fillId="0" borderId="2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8" fillId="0" borderId="32" xfId="0" applyFont="1" applyFill="1" applyBorder="1" applyAlignment="1">
      <alignment horizontal="center" vertical="center" wrapText="1"/>
    </xf>
    <xf numFmtId="0" fontId="8" fillId="0" borderId="33" xfId="0" applyFont="1" applyFill="1" applyBorder="1" applyAlignment="1">
      <alignment horizontal="center" vertical="center" wrapText="1"/>
    </xf>
    <xf numFmtId="165" fontId="0" fillId="0" borderId="13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6" fillId="0" borderId="13" xfId="0" applyNumberFormat="1" applyFont="1" applyBorder="1" applyAlignment="1">
      <alignment horizontal="center" wrapText="1"/>
    </xf>
    <xf numFmtId="165" fontId="0" fillId="0" borderId="4" xfId="0" applyNumberFormat="1" applyBorder="1" applyAlignment="1">
      <alignment horizontal="center"/>
    </xf>
    <xf numFmtId="165" fontId="6" fillId="0" borderId="34" xfId="0" applyNumberFormat="1" applyFont="1" applyBorder="1" applyAlignment="1">
      <alignment horizontal="center" wrapText="1"/>
    </xf>
    <xf numFmtId="165" fontId="6" fillId="0" borderId="35" xfId="0" applyNumberFormat="1" applyFont="1" applyBorder="1" applyAlignment="1">
      <alignment horizontal="center" wrapText="1"/>
    </xf>
    <xf numFmtId="165" fontId="6" fillId="0" borderId="36" xfId="0" applyNumberFormat="1" applyFont="1" applyBorder="1" applyAlignment="1">
      <alignment horizontal="center" wrapText="1"/>
    </xf>
    <xf numFmtId="0" fontId="1" fillId="0" borderId="0" xfId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2" fillId="0" borderId="0" xfId="1" applyFont="1" applyBorder="1" applyAlignment="1">
      <alignment horizontal="center" vertical="center"/>
    </xf>
    <xf numFmtId="0" fontId="21" fillId="0" borderId="0" xfId="1" applyFont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5" fillId="8" borderId="9" xfId="1" applyFont="1" applyFill="1" applyBorder="1" applyAlignment="1">
      <alignment horizontal="center" vertical="center"/>
    </xf>
    <xf numFmtId="0" fontId="5" fillId="8" borderId="37" xfId="1" applyFont="1" applyFill="1" applyBorder="1" applyAlignment="1">
      <alignment horizontal="center" vertical="center"/>
    </xf>
    <xf numFmtId="0" fontId="5" fillId="8" borderId="7" xfId="1" applyFont="1" applyFill="1" applyBorder="1" applyAlignment="1">
      <alignment horizontal="center" vertical="center"/>
    </xf>
    <xf numFmtId="0" fontId="5" fillId="9" borderId="9" xfId="1" applyFont="1" applyFill="1" applyBorder="1" applyAlignment="1">
      <alignment horizontal="center" vertical="center"/>
    </xf>
    <xf numFmtId="0" fontId="5" fillId="9" borderId="37" xfId="1" applyFont="1" applyFill="1" applyBorder="1" applyAlignment="1">
      <alignment horizontal="center" vertical="center"/>
    </xf>
    <xf numFmtId="0" fontId="5" fillId="9" borderId="7" xfId="1" applyFont="1" applyFill="1" applyBorder="1" applyAlignment="1">
      <alignment horizontal="center" vertical="center"/>
    </xf>
    <xf numFmtId="0" fontId="12" fillId="0" borderId="0" xfId="1" applyFont="1" applyAlignment="1">
      <alignment horizontal="left" vertical="center"/>
    </xf>
    <xf numFmtId="0" fontId="5" fillId="10" borderId="38" xfId="1" applyFont="1" applyFill="1" applyBorder="1" applyAlignment="1">
      <alignment horizontal="center" vertical="center"/>
    </xf>
    <xf numFmtId="164" fontId="12" fillId="0" borderId="15" xfId="1" applyNumberFormat="1" applyFont="1" applyBorder="1" applyAlignment="1">
      <alignment horizontal="center" vertical="center"/>
    </xf>
    <xf numFmtId="164" fontId="12" fillId="0" borderId="16" xfId="1" applyNumberFormat="1" applyFont="1" applyBorder="1" applyAlignment="1">
      <alignment horizontal="center" vertical="center"/>
    </xf>
    <xf numFmtId="164" fontId="12" fillId="0" borderId="17" xfId="1" applyNumberFormat="1" applyFont="1" applyBorder="1" applyAlignment="1">
      <alignment horizontal="center" vertical="center"/>
    </xf>
    <xf numFmtId="164" fontId="12" fillId="0" borderId="0" xfId="1" applyNumberFormat="1" applyFont="1" applyAlignment="1">
      <alignment horizontal="center" vertical="center"/>
    </xf>
    <xf numFmtId="1" fontId="5" fillId="10" borderId="38" xfId="1" applyNumberFormat="1" applyFont="1" applyFill="1" applyBorder="1" applyAlignment="1">
      <alignment horizontal="center" vertical="center"/>
    </xf>
    <xf numFmtId="164" fontId="12" fillId="0" borderId="39" xfId="1" applyNumberFormat="1" applyFont="1" applyBorder="1" applyAlignment="1">
      <alignment horizontal="center" vertical="center"/>
    </xf>
    <xf numFmtId="165" fontId="12" fillId="0" borderId="38" xfId="1" applyNumberFormat="1" applyFont="1" applyBorder="1" applyAlignment="1">
      <alignment horizontal="center" vertical="center"/>
    </xf>
    <xf numFmtId="0" fontId="5" fillId="10" borderId="40" xfId="1" applyFont="1" applyFill="1" applyBorder="1" applyAlignment="1">
      <alignment horizontal="center" vertical="center"/>
    </xf>
    <xf numFmtId="164" fontId="12" fillId="0" borderId="19" xfId="1" applyNumberFormat="1" applyFont="1" applyBorder="1" applyAlignment="1">
      <alignment horizontal="center" vertical="center"/>
    </xf>
    <xf numFmtId="164" fontId="12" fillId="0" borderId="20" xfId="1" applyNumberFormat="1" applyFont="1" applyBorder="1" applyAlignment="1">
      <alignment horizontal="center" vertical="center"/>
    </xf>
    <xf numFmtId="164" fontId="12" fillId="0" borderId="21" xfId="1" applyNumberFormat="1" applyFont="1" applyBorder="1" applyAlignment="1">
      <alignment horizontal="center" vertical="center"/>
    </xf>
    <xf numFmtId="1" fontId="5" fillId="10" borderId="40" xfId="1" applyNumberFormat="1" applyFont="1" applyFill="1" applyBorder="1" applyAlignment="1">
      <alignment horizontal="center" vertical="center"/>
    </xf>
    <xf numFmtId="164" fontId="12" fillId="0" borderId="41" xfId="1" applyNumberFormat="1" applyFont="1" applyBorder="1" applyAlignment="1">
      <alignment horizontal="center" vertical="center"/>
    </xf>
    <xf numFmtId="165" fontId="12" fillId="0" borderId="40" xfId="1" applyNumberFormat="1" applyFont="1" applyBorder="1" applyAlignment="1">
      <alignment horizontal="center" vertical="center"/>
    </xf>
    <xf numFmtId="0" fontId="5" fillId="10" borderId="25" xfId="1" applyFont="1" applyFill="1" applyBorder="1" applyAlignment="1">
      <alignment horizontal="center" vertical="center"/>
    </xf>
    <xf numFmtId="164" fontId="12" fillId="0" borderId="26" xfId="1" applyNumberFormat="1" applyFont="1" applyBorder="1" applyAlignment="1">
      <alignment horizontal="center" vertical="center"/>
    </xf>
    <xf numFmtId="164" fontId="12" fillId="0" borderId="27" xfId="1" applyNumberFormat="1" applyFont="1" applyBorder="1" applyAlignment="1">
      <alignment horizontal="center" vertical="center"/>
    </xf>
    <xf numFmtId="164" fontId="12" fillId="0" borderId="28" xfId="1" applyNumberFormat="1" applyFont="1" applyBorder="1" applyAlignment="1">
      <alignment horizontal="center" vertical="center"/>
    </xf>
    <xf numFmtId="1" fontId="5" fillId="10" borderId="42" xfId="1" applyNumberFormat="1" applyFont="1" applyFill="1" applyBorder="1" applyAlignment="1">
      <alignment horizontal="center" vertical="center"/>
    </xf>
    <xf numFmtId="164" fontId="12" fillId="0" borderId="43" xfId="1" applyNumberFormat="1" applyFont="1" applyBorder="1" applyAlignment="1">
      <alignment horizontal="center" vertical="center"/>
    </xf>
    <xf numFmtId="164" fontId="12" fillId="0" borderId="33" xfId="1" applyNumberFormat="1" applyFont="1" applyBorder="1" applyAlignment="1">
      <alignment horizontal="center" vertical="center"/>
    </xf>
    <xf numFmtId="164" fontId="12" fillId="0" borderId="8" xfId="1" applyNumberFormat="1" applyFont="1" applyBorder="1" applyAlignment="1">
      <alignment horizontal="center" vertical="center"/>
    </xf>
    <xf numFmtId="165" fontId="12" fillId="0" borderId="42" xfId="1" applyNumberFormat="1" applyFont="1" applyBorder="1" applyAlignment="1">
      <alignment horizontal="center" vertical="center"/>
    </xf>
    <xf numFmtId="164" fontId="5" fillId="8" borderId="29" xfId="1" applyNumberFormat="1" applyFont="1" applyFill="1" applyBorder="1" applyAlignment="1">
      <alignment horizontal="center" vertical="center"/>
    </xf>
    <xf numFmtId="164" fontId="5" fillId="8" borderId="45" xfId="1" applyNumberFormat="1" applyFont="1" applyFill="1" applyBorder="1" applyAlignment="1">
      <alignment horizontal="center" vertical="center"/>
    </xf>
    <xf numFmtId="164" fontId="5" fillId="8" borderId="46" xfId="1" applyNumberFormat="1" applyFont="1" applyFill="1" applyBorder="1" applyAlignment="1">
      <alignment horizontal="center" vertical="center"/>
    </xf>
    <xf numFmtId="0" fontId="12" fillId="0" borderId="0" xfId="1" applyFont="1" applyBorder="1" applyAlignment="1">
      <alignment horizontal="left" vertical="center"/>
    </xf>
    <xf numFmtId="0" fontId="13" fillId="11" borderId="0" xfId="1" applyFont="1" applyFill="1" applyAlignment="1">
      <alignment horizontal="center" vertical="center"/>
    </xf>
    <xf numFmtId="0" fontId="13" fillId="11" borderId="0" xfId="1" applyFont="1" applyFill="1" applyAlignment="1">
      <alignment horizontal="left" vertical="center"/>
    </xf>
    <xf numFmtId="0" fontId="1" fillId="11" borderId="0" xfId="1" applyFill="1" applyAlignment="1">
      <alignment horizontal="center" vertical="center"/>
    </xf>
    <xf numFmtId="165" fontId="2" fillId="0" borderId="12" xfId="0" applyNumberFormat="1" applyFont="1" applyFill="1" applyBorder="1" applyAlignment="1">
      <alignment horizontal="center" vertical="center"/>
    </xf>
    <xf numFmtId="0" fontId="13" fillId="0" borderId="0" xfId="1" applyFont="1" applyAlignment="1">
      <alignment horizontal="right" vertical="center"/>
    </xf>
    <xf numFmtId="0" fontId="14" fillId="0" borderId="0" xfId="1" applyFont="1" applyAlignment="1">
      <alignment horizontal="left" vertical="center"/>
    </xf>
    <xf numFmtId="0" fontId="27" fillId="0" borderId="0" xfId="1" applyFont="1" applyAlignment="1">
      <alignment horizontal="left" vertical="center"/>
    </xf>
    <xf numFmtId="0" fontId="31" fillId="0" borderId="0" xfId="1" applyFont="1" applyAlignment="1">
      <alignment horizontal="left" vertical="center"/>
    </xf>
    <xf numFmtId="0" fontId="1" fillId="0" borderId="0" xfId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2" fillId="0" borderId="0" xfId="0" applyFont="1" applyAlignment="1"/>
    <xf numFmtId="0" fontId="3" fillId="0" borderId="0" xfId="0" applyNumberFormat="1" applyFont="1" applyAlignment="1">
      <alignment horizontal="left" vertical="center"/>
    </xf>
    <xf numFmtId="0" fontId="0" fillId="0" borderId="0" xfId="0" applyNumberFormat="1" applyAlignment="1">
      <alignment vertical="center"/>
    </xf>
    <xf numFmtId="165" fontId="0" fillId="0" borderId="0" xfId="0" applyNumberFormat="1"/>
    <xf numFmtId="2" fontId="0" fillId="0" borderId="0" xfId="0" applyNumberFormat="1"/>
    <xf numFmtId="165" fontId="1" fillId="0" borderId="0" xfId="0" applyNumberFormat="1" applyFont="1" applyFill="1" applyBorder="1" applyAlignment="1">
      <alignment horizontal="center" wrapText="1"/>
    </xf>
    <xf numFmtId="164" fontId="1" fillId="0" borderId="0" xfId="0" applyNumberFormat="1" applyFont="1" applyFill="1" applyBorder="1" applyAlignment="1">
      <alignment horizontal="center" wrapText="1"/>
    </xf>
    <xf numFmtId="165" fontId="2" fillId="0" borderId="0" xfId="0" applyNumberFormat="1" applyFont="1" applyFill="1" applyBorder="1" applyAlignment="1">
      <alignment horizontal="center" wrapText="1"/>
    </xf>
    <xf numFmtId="165" fontId="32" fillId="0" borderId="0" xfId="1" applyNumberFormat="1" applyFont="1" applyAlignment="1">
      <alignment horizontal="center" vertical="center"/>
    </xf>
    <xf numFmtId="0" fontId="2" fillId="0" borderId="29" xfId="1" applyFont="1" applyBorder="1" applyAlignment="1">
      <alignment horizontal="center" vertical="center"/>
    </xf>
    <xf numFmtId="0" fontId="2" fillId="0" borderId="54" xfId="1" applyFont="1" applyBorder="1" applyAlignment="1">
      <alignment horizontal="center" vertical="center"/>
    </xf>
    <xf numFmtId="0" fontId="2" fillId="0" borderId="12" xfId="1" applyFont="1" applyBorder="1" applyAlignment="1">
      <alignment horizontal="center" vertical="center"/>
    </xf>
    <xf numFmtId="164" fontId="2" fillId="0" borderId="24" xfId="1" applyNumberFormat="1" applyFont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165" fontId="2" fillId="0" borderId="24" xfId="1" applyNumberFormat="1" applyFont="1" applyBorder="1" applyAlignment="1">
      <alignment horizontal="center" vertical="center"/>
    </xf>
    <xf numFmtId="0" fontId="3" fillId="13" borderId="57" xfId="0" applyFont="1" applyFill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 vertical="center" wrapText="1"/>
    </xf>
    <xf numFmtId="0" fontId="2" fillId="13" borderId="59" xfId="0" applyFont="1" applyFill="1" applyBorder="1" applyAlignment="1">
      <alignment horizontal="center" vertical="center" wrapText="1"/>
    </xf>
    <xf numFmtId="2" fontId="2" fillId="3" borderId="45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9" fillId="0" borderId="0" xfId="0" applyNumberFormat="1" applyFont="1" applyBorder="1" applyAlignment="1">
      <alignment horizontal="left" vertical="center"/>
    </xf>
    <xf numFmtId="0" fontId="8" fillId="0" borderId="0" xfId="0" applyFont="1" applyFill="1" applyBorder="1" applyAlignment="1">
      <alignment horizontal="center" vertical="center" wrapText="1"/>
    </xf>
    <xf numFmtId="2" fontId="2" fillId="3" borderId="62" xfId="0" applyNumberFormat="1" applyFont="1" applyFill="1" applyBorder="1" applyAlignment="1">
      <alignment horizontal="center" vertical="center" wrapText="1"/>
    </xf>
    <xf numFmtId="2" fontId="2" fillId="3" borderId="59" xfId="0" applyNumberFormat="1" applyFont="1" applyFill="1" applyBorder="1" applyAlignment="1">
      <alignment horizontal="center" vertical="center" wrapText="1"/>
    </xf>
    <xf numFmtId="0" fontId="8" fillId="0" borderId="13" xfId="0" applyFont="1" applyFill="1" applyBorder="1" applyAlignment="1">
      <alignment horizontal="center" vertical="center" wrapText="1"/>
    </xf>
    <xf numFmtId="0" fontId="8" fillId="0" borderId="63" xfId="0" applyFont="1" applyFill="1" applyBorder="1" applyAlignment="1">
      <alignment horizontal="center" vertical="center" wrapText="1"/>
    </xf>
    <xf numFmtId="165" fontId="6" fillId="0" borderId="63" xfId="0" applyNumberFormat="1" applyFont="1" applyBorder="1" applyAlignment="1">
      <alignment horizontal="center" wrapText="1"/>
    </xf>
    <xf numFmtId="165" fontId="6" fillId="0" borderId="64" xfId="0" applyNumberFormat="1" applyFont="1" applyBorder="1" applyAlignment="1">
      <alignment horizontal="center" wrapText="1"/>
    </xf>
    <xf numFmtId="0" fontId="4" fillId="0" borderId="0" xfId="0" applyFont="1" applyFill="1" applyBorder="1" applyAlignment="1">
      <alignment horizontal="center" vertical="center" wrapText="1"/>
    </xf>
    <xf numFmtId="2" fontId="2" fillId="0" borderId="0" xfId="0" applyNumberFormat="1" applyFont="1" applyFill="1" applyBorder="1" applyAlignment="1">
      <alignment horizontal="center" vertical="center" wrapText="1"/>
    </xf>
    <xf numFmtId="0" fontId="3" fillId="14" borderId="57" xfId="0" applyFont="1" applyFill="1" applyBorder="1" applyAlignment="1">
      <alignment horizontal="center" vertical="center" wrapText="1"/>
    </xf>
    <xf numFmtId="0" fontId="3" fillId="14" borderId="56" xfId="0" applyFont="1" applyFill="1" applyBorder="1" applyAlignment="1">
      <alignment horizontal="center" vertical="center" wrapText="1"/>
    </xf>
    <xf numFmtId="2" fontId="2" fillId="14" borderId="56" xfId="0" applyNumberFormat="1" applyFont="1" applyFill="1" applyBorder="1" applyAlignment="1">
      <alignment horizontal="center" wrapText="1"/>
    </xf>
    <xf numFmtId="2" fontId="2" fillId="14" borderId="60" xfId="0" applyNumberFormat="1" applyFont="1" applyFill="1" applyBorder="1" applyAlignment="1">
      <alignment horizontal="center" wrapText="1"/>
    </xf>
    <xf numFmtId="0" fontId="3" fillId="14" borderId="61" xfId="0" applyFont="1" applyFill="1" applyBorder="1" applyAlignment="1">
      <alignment horizontal="center" vertical="center" wrapText="1"/>
    </xf>
    <xf numFmtId="2" fontId="1" fillId="13" borderId="29" xfId="0" applyNumberFormat="1" applyFont="1" applyFill="1" applyBorder="1" applyAlignment="1" applyProtection="1">
      <alignment horizontal="center" vertical="center"/>
      <protection locked="0"/>
    </xf>
    <xf numFmtId="165" fontId="6" fillId="13" borderId="31" xfId="0" applyNumberFormat="1" applyFont="1" applyFill="1" applyBorder="1" applyAlignment="1">
      <alignment horizontal="center" vertical="center" wrapText="1"/>
    </xf>
    <xf numFmtId="2" fontId="1" fillId="13" borderId="9" xfId="0" applyNumberFormat="1" applyFont="1" applyFill="1" applyBorder="1" applyAlignment="1" applyProtection="1">
      <alignment horizontal="center" vertical="center"/>
      <protection locked="0"/>
    </xf>
    <xf numFmtId="0" fontId="1" fillId="13" borderId="9" xfId="1" applyFill="1" applyBorder="1" applyAlignment="1">
      <alignment horizontal="center" vertical="center"/>
    </xf>
    <xf numFmtId="0" fontId="1" fillId="13" borderId="10" xfId="1" applyFill="1" applyBorder="1" applyAlignment="1">
      <alignment horizontal="center" vertical="center"/>
    </xf>
    <xf numFmtId="1" fontId="1" fillId="13" borderId="10" xfId="0" applyNumberFormat="1" applyFont="1" applyFill="1" applyBorder="1" applyAlignment="1" applyProtection="1">
      <alignment horizontal="center" vertical="center"/>
      <protection locked="0"/>
    </xf>
    <xf numFmtId="0" fontId="1" fillId="0" borderId="0" xfId="1" applyAlignment="1">
      <alignment horizontal="center" vertical="center"/>
    </xf>
    <xf numFmtId="0" fontId="0" fillId="0" borderId="0" xfId="0" applyAlignment="1"/>
    <xf numFmtId="0" fontId="17" fillId="0" borderId="0" xfId="0" applyFont="1" applyFill="1" applyBorder="1" applyAlignment="1"/>
    <xf numFmtId="0" fontId="19" fillId="0" borderId="0" xfId="0" applyFont="1" applyFill="1" applyBorder="1" applyAlignment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wrapText="1"/>
    </xf>
    <xf numFmtId="0" fontId="13" fillId="0" borderId="0" xfId="0" applyFont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165" fontId="0" fillId="0" borderId="0" xfId="0" applyNumberFormat="1" applyFill="1" applyBorder="1"/>
    <xf numFmtId="0" fontId="11" fillId="0" borderId="0" xfId="0" applyFont="1" applyAlignment="1">
      <alignment horizontal="center" vertical="center"/>
    </xf>
    <xf numFmtId="0" fontId="17" fillId="0" borderId="0" xfId="0" applyFont="1" applyAlignment="1"/>
    <xf numFmtId="0" fontId="19" fillId="0" borderId="0" xfId="0" applyFont="1" applyBorder="1" applyAlignment="1"/>
    <xf numFmtId="0" fontId="3" fillId="0" borderId="0" xfId="0" applyFont="1" applyFill="1" applyBorder="1" applyAlignment="1">
      <alignment horizontal="center" wrapText="1"/>
    </xf>
    <xf numFmtId="0" fontId="16" fillId="0" borderId="0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9" fillId="0" borderId="0" xfId="0" applyNumberFormat="1" applyFont="1" applyBorder="1" applyAlignment="1">
      <alignment horizontal="left" vertical="center" wrapText="1"/>
    </xf>
    <xf numFmtId="0" fontId="3" fillId="0" borderId="0" xfId="0" applyNumberFormat="1" applyFont="1" applyAlignment="1">
      <alignment horizontal="left" vertical="center"/>
    </xf>
    <xf numFmtId="0" fontId="0" fillId="0" borderId="0" xfId="0" applyNumberFormat="1" applyAlignment="1">
      <alignment vertical="center"/>
    </xf>
    <xf numFmtId="0" fontId="12" fillId="0" borderId="0" xfId="1" applyFont="1" applyAlignment="1">
      <alignment horizontal="center" vertical="center"/>
    </xf>
    <xf numFmtId="0" fontId="12" fillId="0" borderId="65" xfId="1" applyFont="1" applyBorder="1" applyAlignment="1">
      <alignment horizontal="center" vertical="center"/>
    </xf>
    <xf numFmtId="0" fontId="2" fillId="12" borderId="44" xfId="1" applyFont="1" applyFill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21" fillId="0" borderId="47" xfId="1" applyFont="1" applyBorder="1" applyAlignment="1">
      <alignment horizontal="left" vertical="center" wrapText="1" indent="3"/>
    </xf>
    <xf numFmtId="0" fontId="0" fillId="0" borderId="48" xfId="0" applyBorder="1" applyAlignment="1">
      <alignment horizontal="left" vertical="center" wrapText="1" indent="3"/>
    </xf>
    <xf numFmtId="0" fontId="0" fillId="0" borderId="49" xfId="0" applyBorder="1" applyAlignment="1">
      <alignment horizontal="left" vertical="center" wrapText="1" indent="3"/>
    </xf>
    <xf numFmtId="0" fontId="0" fillId="0" borderId="23" xfId="0" applyBorder="1" applyAlignment="1">
      <alignment horizontal="left" vertical="center" wrapText="1" indent="3"/>
    </xf>
    <xf numFmtId="0" fontId="0" fillId="0" borderId="30" xfId="0" applyBorder="1" applyAlignment="1">
      <alignment horizontal="left" vertical="center" wrapText="1" indent="3"/>
    </xf>
    <xf numFmtId="0" fontId="0" fillId="0" borderId="11" xfId="0" applyBorder="1" applyAlignment="1">
      <alignment horizontal="left" vertical="center" wrapText="1" indent="3"/>
    </xf>
    <xf numFmtId="0" fontId="5" fillId="12" borderId="29" xfId="1" applyFont="1" applyFill="1" applyBorder="1" applyAlignment="1">
      <alignment horizontal="center" vertical="center"/>
    </xf>
    <xf numFmtId="0" fontId="5" fillId="12" borderId="45" xfId="1" applyFont="1" applyFill="1" applyBorder="1" applyAlignment="1">
      <alignment horizontal="center" vertical="center"/>
    </xf>
    <xf numFmtId="0" fontId="5" fillId="12" borderId="46" xfId="1" applyFont="1" applyFill="1" applyBorder="1" applyAlignment="1">
      <alignment horizontal="center" vertical="center"/>
    </xf>
    <xf numFmtId="0" fontId="15" fillId="12" borderId="29" xfId="1" applyFont="1" applyFill="1" applyBorder="1" applyAlignment="1">
      <alignment horizontal="center" vertical="center"/>
    </xf>
    <xf numFmtId="0" fontId="5" fillId="12" borderId="38" xfId="1" applyFont="1" applyFill="1" applyBorder="1" applyAlignment="1">
      <alignment horizontal="center" vertical="center"/>
    </xf>
    <xf numFmtId="0" fontId="2" fillId="12" borderId="40" xfId="1" applyFont="1" applyFill="1" applyBorder="1" applyAlignment="1">
      <alignment horizontal="center" vertical="center"/>
    </xf>
    <xf numFmtId="0" fontId="2" fillId="12" borderId="25" xfId="1" applyFont="1" applyFill="1" applyBorder="1" applyAlignment="1">
      <alignment horizontal="center" vertical="center"/>
    </xf>
    <xf numFmtId="0" fontId="5" fillId="10" borderId="38" xfId="1" applyFont="1" applyFill="1" applyBorder="1" applyAlignment="1">
      <alignment horizontal="center" vertical="center" wrapText="1"/>
    </xf>
    <xf numFmtId="0" fontId="5" fillId="10" borderId="25" xfId="1" applyFont="1" applyFill="1" applyBorder="1" applyAlignment="1">
      <alignment horizontal="center" vertical="center"/>
    </xf>
    <xf numFmtId="0" fontId="5" fillId="8" borderId="50" xfId="1" applyFont="1" applyFill="1" applyBorder="1" applyAlignment="1">
      <alignment horizontal="center" vertical="center"/>
    </xf>
    <xf numFmtId="0" fontId="5" fillId="8" borderId="52" xfId="1" applyFont="1" applyFill="1" applyBorder="1" applyAlignment="1">
      <alignment horizontal="center" vertical="center"/>
    </xf>
    <xf numFmtId="0" fontId="5" fillId="8" borderId="51" xfId="1" applyFont="1" applyFill="1" applyBorder="1" applyAlignment="1">
      <alignment horizontal="center" vertical="center"/>
    </xf>
    <xf numFmtId="0" fontId="5" fillId="10" borderId="42" xfId="1" applyFont="1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0" fontId="0" fillId="12" borderId="53" xfId="0" applyFill="1" applyBorder="1" applyAlignment="1">
      <alignment horizontal="center" vertical="center"/>
    </xf>
    <xf numFmtId="0" fontId="3" fillId="12" borderId="44" xfId="1" applyFont="1" applyFill="1" applyBorder="1" applyAlignment="1">
      <alignment horizontal="center" vertical="center"/>
    </xf>
    <xf numFmtId="0" fontId="21" fillId="0" borderId="0" xfId="1" applyFont="1" applyAlignment="1">
      <alignment horizontal="center" vertical="center"/>
    </xf>
    <xf numFmtId="0" fontId="21" fillId="0" borderId="65" xfId="1" applyFont="1" applyBorder="1" applyAlignment="1">
      <alignment horizontal="center" vertical="center"/>
    </xf>
    <xf numFmtId="164" fontId="2" fillId="0" borderId="22" xfId="0" applyNumberFormat="1" applyFont="1" applyFill="1" applyBorder="1" applyAlignment="1">
      <alignment horizontal="center" vertical="center" wrapText="1"/>
    </xf>
    <xf numFmtId="0" fontId="0" fillId="0" borderId="24" xfId="0" applyBorder="1" applyAlignment="1">
      <alignment vertical="center" wrapText="1"/>
    </xf>
    <xf numFmtId="0" fontId="9" fillId="0" borderId="0" xfId="0" applyFont="1" applyFill="1" applyBorder="1" applyAlignment="1">
      <alignment horizontal="left" vertical="center" wrapText="1"/>
    </xf>
    <xf numFmtId="0" fontId="3" fillId="0" borderId="0" xfId="0" applyFont="1" applyFill="1" applyBorder="1" applyAlignment="1">
      <alignment horizontal="left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/>
    <xf numFmtId="0" fontId="36" fillId="0" borderId="0" xfId="0" applyFont="1" applyAlignment="1"/>
    <xf numFmtId="0" fontId="35" fillId="0" borderId="0" xfId="0" applyFont="1" applyAlignment="1"/>
    <xf numFmtId="0" fontId="37" fillId="0" borderId="0" xfId="0" applyFont="1" applyAlignment="1">
      <alignment horizontal="center" vertical="center"/>
    </xf>
    <xf numFmtId="0" fontId="38" fillId="0" borderId="0" xfId="0" applyFont="1" applyAlignment="1"/>
    <xf numFmtId="0" fontId="38" fillId="0" borderId="0" xfId="0" applyFont="1" applyAlignment="1"/>
    <xf numFmtId="165" fontId="13" fillId="0" borderId="0" xfId="0" applyNumberFormat="1" applyFont="1" applyAlignment="1">
      <alignment horizontal="left" vertical="center"/>
    </xf>
    <xf numFmtId="0" fontId="40" fillId="2" borderId="2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left" vertical="center"/>
    </xf>
    <xf numFmtId="0" fontId="3" fillId="7" borderId="55" xfId="0" applyFont="1" applyFill="1" applyBorder="1" applyAlignment="1">
      <alignment horizontal="center" vertical="center" wrapText="1"/>
    </xf>
    <xf numFmtId="2" fontId="2" fillId="3" borderId="5" xfId="0" applyNumberFormat="1" applyFont="1" applyFill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 vertical="center"/>
    </xf>
    <xf numFmtId="0" fontId="0" fillId="15" borderId="53" xfId="0" applyFill="1" applyBorder="1" applyAlignment="1">
      <alignment horizontal="center" vertical="center"/>
    </xf>
    <xf numFmtId="0" fontId="4" fillId="2" borderId="66" xfId="0" applyFont="1" applyFill="1" applyBorder="1" applyAlignment="1">
      <alignment horizontal="center" vertical="center" wrapText="1"/>
    </xf>
    <xf numFmtId="2" fontId="2" fillId="3" borderId="67" xfId="0" applyNumberFormat="1" applyFont="1" applyFill="1" applyBorder="1" applyAlignment="1">
      <alignment horizontal="center" vertical="center" wrapText="1"/>
    </xf>
    <xf numFmtId="0" fontId="2" fillId="15" borderId="29" xfId="0" applyFont="1" applyFill="1" applyBorder="1" applyAlignment="1">
      <alignment horizontal="center" vertical="center"/>
    </xf>
    <xf numFmtId="0" fontId="0" fillId="15" borderId="46" xfId="0" applyFill="1" applyBorder="1" applyAlignment="1">
      <alignment horizontal="center" vertical="center"/>
    </xf>
    <xf numFmtId="0" fontId="1" fillId="15" borderId="4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30" xfId="0" applyFont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2" fontId="1" fillId="13" borderId="23" xfId="0" applyNumberFormat="1" applyFont="1" applyFill="1" applyBorder="1" applyAlignment="1" applyProtection="1">
      <alignment horizontal="center" vertical="center"/>
      <protection locked="0"/>
    </xf>
    <xf numFmtId="164" fontId="2" fillId="0" borderId="12" xfId="0" applyNumberFormat="1" applyFont="1" applyFill="1" applyBorder="1" applyAlignment="1">
      <alignment horizontal="center" vertical="center"/>
    </xf>
    <xf numFmtId="165" fontId="2" fillId="0" borderId="24" xfId="0" applyNumberFormat="1" applyFont="1" applyFill="1" applyBorder="1" applyAlignment="1">
      <alignment horizontal="center" vertical="center"/>
    </xf>
    <xf numFmtId="0" fontId="41" fillId="0" borderId="0" xfId="1" applyFon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37" fillId="0" borderId="0" xfId="1" applyFont="1" applyAlignment="1">
      <alignment horizontal="center" vertical="center"/>
    </xf>
    <xf numFmtId="0" fontId="38" fillId="0" borderId="0" xfId="1" applyFont="1" applyAlignment="1">
      <alignment horizontal="center" vertical="center"/>
    </xf>
    <xf numFmtId="0" fontId="15" fillId="15" borderId="44" xfId="1" applyFont="1" applyFill="1" applyBorder="1" applyAlignment="1">
      <alignment horizontal="center" vertical="center"/>
    </xf>
    <xf numFmtId="0" fontId="3" fillId="15" borderId="31" xfId="1" applyFont="1" applyFill="1" applyBorder="1" applyAlignment="1">
      <alignment horizontal="left" vertical="center"/>
    </xf>
    <xf numFmtId="0" fontId="1" fillId="15" borderId="53" xfId="1" applyFill="1" applyBorder="1" applyAlignment="1">
      <alignment horizontal="center" vertical="center"/>
    </xf>
    <xf numFmtId="0" fontId="36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2" fontId="2" fillId="0" borderId="12" xfId="0" applyNumberFormat="1" applyFont="1" applyBorder="1" applyAlignment="1">
      <alignment horizontal="center" vertical="center"/>
    </xf>
    <xf numFmtId="2" fontId="2" fillId="0" borderId="11" xfId="0" applyNumberFormat="1" applyFont="1" applyFill="1" applyBorder="1" applyAlignment="1">
      <alignment horizontal="center" vertical="center"/>
    </xf>
    <xf numFmtId="0" fontId="9" fillId="15" borderId="31" xfId="0" applyFont="1" applyFill="1" applyBorder="1" applyAlignment="1">
      <alignment horizontal="left" vertical="center"/>
    </xf>
    <xf numFmtId="0" fontId="0" fillId="15" borderId="53" xfId="0" applyFill="1" applyBorder="1" applyAlignment="1">
      <alignment vertical="center"/>
    </xf>
    <xf numFmtId="164" fontId="2" fillId="0" borderId="11" xfId="0" applyNumberFormat="1" applyFont="1" applyFill="1" applyBorder="1" applyAlignment="1">
      <alignment horizontal="center" vertical="center" wrapText="1"/>
    </xf>
    <xf numFmtId="164" fontId="2" fillId="0" borderId="49" xfId="0" applyNumberFormat="1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165" fontId="2" fillId="0" borderId="24" xfId="0" applyNumberFormat="1" applyFont="1" applyFill="1" applyBorder="1" applyAlignment="1" applyProtection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5" fillId="6" borderId="47" xfId="0" applyFont="1" applyFill="1" applyBorder="1" applyAlignment="1">
      <alignment horizontal="center" vertical="center"/>
    </xf>
    <xf numFmtId="0" fontId="5" fillId="0" borderId="48" xfId="0" applyFont="1" applyBorder="1" applyAlignment="1">
      <alignment vertical="center"/>
    </xf>
    <xf numFmtId="0" fontId="5" fillId="0" borderId="49" xfId="0" applyFont="1" applyBorder="1" applyAlignment="1">
      <alignment vertical="center"/>
    </xf>
    <xf numFmtId="0" fontId="1" fillId="0" borderId="68" xfId="1" applyBorder="1" applyAlignment="1">
      <alignment horizontal="center" vertical="center"/>
    </xf>
    <xf numFmtId="0" fontId="1" fillId="0" borderId="65" xfId="1" applyBorder="1" applyAlignment="1">
      <alignment horizontal="center" vertical="center"/>
    </xf>
    <xf numFmtId="0" fontId="1" fillId="0" borderId="65" xfId="0" applyFont="1" applyFill="1" applyBorder="1" applyAlignment="1">
      <alignment horizontal="center" vertical="center"/>
    </xf>
    <xf numFmtId="0" fontId="1" fillId="0" borderId="11" xfId="1" applyBorder="1" applyAlignment="1">
      <alignment horizontal="center" vertical="center"/>
    </xf>
    <xf numFmtId="0" fontId="29" fillId="0" borderId="0" xfId="1" applyFont="1" applyAlignment="1">
      <alignment horizontal="left" vertical="center"/>
    </xf>
    <xf numFmtId="0" fontId="43" fillId="0" borderId="0" xfId="1" applyFont="1" applyAlignment="1">
      <alignment horizontal="right" vertical="center"/>
    </xf>
    <xf numFmtId="0" fontId="17" fillId="0" borderId="0" xfId="1" applyFont="1" applyAlignment="1">
      <alignment horizontal="right" vertical="center"/>
    </xf>
    <xf numFmtId="0" fontId="42" fillId="0" borderId="0" xfId="1" applyFont="1" applyAlignment="1">
      <alignment horizontal="left" vertical="center"/>
    </xf>
    <xf numFmtId="0" fontId="5" fillId="9" borderId="50" xfId="1" applyFont="1" applyFill="1" applyBorder="1" applyAlignment="1">
      <alignment horizontal="center" vertical="center"/>
    </xf>
    <xf numFmtId="0" fontId="5" fillId="9" borderId="52" xfId="1" applyFont="1" applyFill="1" applyBorder="1" applyAlignment="1">
      <alignment horizontal="center" vertical="center"/>
    </xf>
    <xf numFmtId="0" fontId="5" fillId="9" borderId="51" xfId="1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 wrapText="1" indent="3"/>
    </xf>
    <xf numFmtId="0" fontId="13" fillId="0" borderId="65" xfId="1" applyFont="1" applyBorder="1" applyAlignment="1">
      <alignment horizontal="right" vertical="center" textRotation="90"/>
    </xf>
    <xf numFmtId="0" fontId="13" fillId="0" borderId="65" xfId="0" applyFont="1" applyBorder="1" applyAlignment="1">
      <alignment horizontal="right" vertical="center" textRotation="9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CC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CCFF"/>
      <color rgb="FFCCFFCC"/>
      <color rgb="FFED5D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37816967093989"/>
          <c:y val="3.0526315789473742E-2"/>
          <c:w val="0.80153211427083981"/>
          <c:h val="0.8203751548171393"/>
        </c:manualLayout>
      </c:layout>
      <c:scatterChart>
        <c:scatterStyle val="smoothMarker"/>
        <c:varyColors val="0"/>
        <c:ser>
          <c:idx val="0"/>
          <c:order val="0"/>
          <c:tx>
            <c:v>2 x 2</c:v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'6 MeV PDD'!$A$9:$A$28</c:f>
              <c:numCache>
                <c:formatCode>0.00</c:formatCode>
                <c:ptCount val="2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1.3</c:v>
                </c:pt>
                <c:pt idx="8">
                  <c:v>1.4</c:v>
                </c:pt>
                <c:pt idx="9">
                  <c:v>1.5</c:v>
                </c:pt>
                <c:pt idx="10">
                  <c:v>1.5999999999999999</c:v>
                </c:pt>
                <c:pt idx="11">
                  <c:v>1.7999999999999998</c:v>
                </c:pt>
                <c:pt idx="12">
                  <c:v>1.9999999999999998</c:v>
                </c:pt>
                <c:pt idx="13">
                  <c:v>2.5</c:v>
                </c:pt>
                <c:pt idx="14">
                  <c:v>3</c:v>
                </c:pt>
                <c:pt idx="15">
                  <c:v>3.2000000000000006</c:v>
                </c:pt>
                <c:pt idx="16">
                  <c:v>3.4000000000000008</c:v>
                </c:pt>
                <c:pt idx="17">
                  <c:v>3.600000000000001</c:v>
                </c:pt>
                <c:pt idx="18">
                  <c:v>4.0000000000000009</c:v>
                </c:pt>
                <c:pt idx="19">
                  <c:v>5.0000000000000018</c:v>
                </c:pt>
              </c:numCache>
            </c:numRef>
          </c:xVal>
          <c:yVal>
            <c:numRef>
              <c:f>'6 MeV PDD'!$B$9:$B$28</c:f>
              <c:numCache>
                <c:formatCode>0.0</c:formatCode>
                <c:ptCount val="20"/>
                <c:pt idx="0">
                  <c:v>86</c:v>
                </c:pt>
                <c:pt idx="1">
                  <c:v>90</c:v>
                </c:pt>
                <c:pt idx="2">
                  <c:v>94.1</c:v>
                </c:pt>
                <c:pt idx="3">
                  <c:v>97.2</c:v>
                </c:pt>
                <c:pt idx="4">
                  <c:v>99</c:v>
                </c:pt>
                <c:pt idx="5">
                  <c:v>100</c:v>
                </c:pt>
                <c:pt idx="6">
                  <c:v>98.5</c:v>
                </c:pt>
                <c:pt idx="7">
                  <c:v>97</c:v>
                </c:pt>
                <c:pt idx="8">
                  <c:v>95</c:v>
                </c:pt>
                <c:pt idx="9">
                  <c:v>91.4</c:v>
                </c:pt>
                <c:pt idx="10">
                  <c:v>86.5</c:v>
                </c:pt>
                <c:pt idx="11">
                  <c:v>77</c:v>
                </c:pt>
                <c:pt idx="12">
                  <c:v>66</c:v>
                </c:pt>
                <c:pt idx="13">
                  <c:v>36</c:v>
                </c:pt>
                <c:pt idx="14">
                  <c:v>6</c:v>
                </c:pt>
                <c:pt idx="15">
                  <c:v>2.6</c:v>
                </c:pt>
                <c:pt idx="16">
                  <c:v>1.5</c:v>
                </c:pt>
                <c:pt idx="17">
                  <c:v>1.2</c:v>
                </c:pt>
                <c:pt idx="18">
                  <c:v>1</c:v>
                </c:pt>
                <c:pt idx="19">
                  <c:v>0.91700000000000004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A2-4B50-8A83-F68E458D0FC7}"/>
            </c:ext>
          </c:extLst>
        </c:ser>
        <c:ser>
          <c:idx val="1"/>
          <c:order val="1"/>
          <c:tx>
            <c:v>3 x 3</c:v>
          </c:tx>
          <c:spPr>
            <a:ln>
              <a:solidFill>
                <a:srgbClr val="ED5D59"/>
              </a:solidFill>
            </a:ln>
          </c:spPr>
          <c:marker>
            <c:symbol val="none"/>
          </c:marker>
          <c:xVal>
            <c:numRef>
              <c:f>'6 MeV PDD'!$A$9:$A$28</c:f>
              <c:numCache>
                <c:formatCode>0.00</c:formatCode>
                <c:ptCount val="2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1.3</c:v>
                </c:pt>
                <c:pt idx="8">
                  <c:v>1.4</c:v>
                </c:pt>
                <c:pt idx="9">
                  <c:v>1.5</c:v>
                </c:pt>
                <c:pt idx="10">
                  <c:v>1.5999999999999999</c:v>
                </c:pt>
                <c:pt idx="11">
                  <c:v>1.7999999999999998</c:v>
                </c:pt>
                <c:pt idx="12">
                  <c:v>1.9999999999999998</c:v>
                </c:pt>
                <c:pt idx="13">
                  <c:v>2.5</c:v>
                </c:pt>
                <c:pt idx="14">
                  <c:v>3</c:v>
                </c:pt>
                <c:pt idx="15">
                  <c:v>3.2000000000000006</c:v>
                </c:pt>
                <c:pt idx="16">
                  <c:v>3.4000000000000008</c:v>
                </c:pt>
                <c:pt idx="17">
                  <c:v>3.600000000000001</c:v>
                </c:pt>
                <c:pt idx="18">
                  <c:v>4.0000000000000009</c:v>
                </c:pt>
                <c:pt idx="19">
                  <c:v>5.0000000000000018</c:v>
                </c:pt>
              </c:numCache>
            </c:numRef>
          </c:xVal>
          <c:yVal>
            <c:numRef>
              <c:f>'6 MeV PDD'!$C$9:$C$28</c:f>
              <c:numCache>
                <c:formatCode>0.0</c:formatCode>
                <c:ptCount val="20"/>
                <c:pt idx="0">
                  <c:v>77</c:v>
                </c:pt>
                <c:pt idx="1">
                  <c:v>81</c:v>
                </c:pt>
                <c:pt idx="2">
                  <c:v>85.2</c:v>
                </c:pt>
                <c:pt idx="3">
                  <c:v>89.6</c:v>
                </c:pt>
                <c:pt idx="4">
                  <c:v>93.8</c:v>
                </c:pt>
                <c:pt idx="5">
                  <c:v>97.5</c:v>
                </c:pt>
                <c:pt idx="6">
                  <c:v>99.6</c:v>
                </c:pt>
                <c:pt idx="7">
                  <c:v>100</c:v>
                </c:pt>
                <c:pt idx="8">
                  <c:v>99.5</c:v>
                </c:pt>
                <c:pt idx="9">
                  <c:v>97.9</c:v>
                </c:pt>
                <c:pt idx="10">
                  <c:v>95</c:v>
                </c:pt>
                <c:pt idx="11">
                  <c:v>87.2</c:v>
                </c:pt>
                <c:pt idx="12">
                  <c:v>77</c:v>
                </c:pt>
                <c:pt idx="13">
                  <c:v>38.799999999999997</c:v>
                </c:pt>
                <c:pt idx="14">
                  <c:v>6.8</c:v>
                </c:pt>
                <c:pt idx="15">
                  <c:v>2.7</c:v>
                </c:pt>
                <c:pt idx="16">
                  <c:v>1.6</c:v>
                </c:pt>
                <c:pt idx="17">
                  <c:v>1.2</c:v>
                </c:pt>
                <c:pt idx="18">
                  <c:v>1</c:v>
                </c:pt>
                <c:pt idx="19">
                  <c:v>0.91700000000000004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A2-4B50-8A83-F68E458D0FC7}"/>
            </c:ext>
          </c:extLst>
        </c:ser>
        <c:ser>
          <c:idx val="2"/>
          <c:order val="2"/>
          <c:tx>
            <c:v>4 x 4 and larger</c:v>
          </c:tx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'6 MeV PDD'!$A$9:$A$28</c:f>
              <c:numCache>
                <c:formatCode>0.00</c:formatCode>
                <c:ptCount val="2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1.3</c:v>
                </c:pt>
                <c:pt idx="8">
                  <c:v>1.4</c:v>
                </c:pt>
                <c:pt idx="9">
                  <c:v>1.5</c:v>
                </c:pt>
                <c:pt idx="10">
                  <c:v>1.5999999999999999</c:v>
                </c:pt>
                <c:pt idx="11">
                  <c:v>1.7999999999999998</c:v>
                </c:pt>
                <c:pt idx="12">
                  <c:v>1.9999999999999998</c:v>
                </c:pt>
                <c:pt idx="13">
                  <c:v>2.5</c:v>
                </c:pt>
                <c:pt idx="14">
                  <c:v>3</c:v>
                </c:pt>
                <c:pt idx="15">
                  <c:v>3.2000000000000006</c:v>
                </c:pt>
                <c:pt idx="16">
                  <c:v>3.4000000000000008</c:v>
                </c:pt>
                <c:pt idx="17">
                  <c:v>3.600000000000001</c:v>
                </c:pt>
                <c:pt idx="18">
                  <c:v>4.0000000000000009</c:v>
                </c:pt>
                <c:pt idx="19">
                  <c:v>5.0000000000000018</c:v>
                </c:pt>
              </c:numCache>
            </c:numRef>
          </c:xVal>
          <c:yVal>
            <c:numRef>
              <c:f>'6 MeV PDD'!$D$9:$D$28</c:f>
              <c:numCache>
                <c:formatCode>0.0</c:formatCode>
                <c:ptCount val="20"/>
                <c:pt idx="0">
                  <c:v>73</c:v>
                </c:pt>
                <c:pt idx="1">
                  <c:v>77.400000000000006</c:v>
                </c:pt>
                <c:pt idx="2">
                  <c:v>81.8</c:v>
                </c:pt>
                <c:pt idx="3">
                  <c:v>86.2</c:v>
                </c:pt>
                <c:pt idx="4">
                  <c:v>90.6</c:v>
                </c:pt>
                <c:pt idx="5">
                  <c:v>94.8</c:v>
                </c:pt>
                <c:pt idx="6">
                  <c:v>97.8</c:v>
                </c:pt>
                <c:pt idx="7">
                  <c:v>99.1</c:v>
                </c:pt>
                <c:pt idx="8">
                  <c:v>99.8</c:v>
                </c:pt>
                <c:pt idx="9">
                  <c:v>100</c:v>
                </c:pt>
                <c:pt idx="10">
                  <c:v>98.6</c:v>
                </c:pt>
                <c:pt idx="11">
                  <c:v>90.8</c:v>
                </c:pt>
                <c:pt idx="12">
                  <c:v>80.599999999999994</c:v>
                </c:pt>
                <c:pt idx="13">
                  <c:v>41.8</c:v>
                </c:pt>
                <c:pt idx="14">
                  <c:v>7</c:v>
                </c:pt>
                <c:pt idx="15">
                  <c:v>2.8</c:v>
                </c:pt>
                <c:pt idx="16">
                  <c:v>1.7</c:v>
                </c:pt>
                <c:pt idx="17">
                  <c:v>1.2</c:v>
                </c:pt>
                <c:pt idx="18">
                  <c:v>1</c:v>
                </c:pt>
                <c:pt idx="19">
                  <c:v>0.91700000000000004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A2-4B50-8A83-F68E458D0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1488"/>
        <c:axId val="67797760"/>
      </c:scatterChart>
      <c:valAx>
        <c:axId val="67791488"/>
        <c:scaling>
          <c:orientation val="minMax"/>
          <c:max val="5"/>
        </c:scaling>
        <c:delete val="0"/>
        <c:axPos val="b"/>
        <c:majorGridlines>
          <c:spPr>
            <a:ln w="15875">
              <a:solidFill>
                <a:schemeClr val="bg2">
                  <a:lumMod val="50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depth (cm)</a:t>
                </a:r>
              </a:p>
            </c:rich>
          </c:tx>
          <c:overlay val="0"/>
        </c:title>
        <c:numFmt formatCode="0" sourceLinked="0"/>
        <c:majorTickMark val="out"/>
        <c:minorTickMark val="out"/>
        <c:tickLblPos val="nextTo"/>
        <c:spPr>
          <a:ln w="28575">
            <a:solidFill>
              <a:schemeClr val="tx1"/>
            </a:solidFill>
          </a:ln>
        </c:spPr>
        <c:txPr>
          <a:bodyPr rot="0" vert="horz"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797760"/>
        <c:crosses val="autoZero"/>
        <c:crossBetween val="midCat"/>
        <c:majorUnit val="1"/>
        <c:minorUnit val="0.1"/>
      </c:valAx>
      <c:valAx>
        <c:axId val="67797760"/>
        <c:scaling>
          <c:orientation val="minMax"/>
          <c:max val="105"/>
          <c:min val="0"/>
        </c:scaling>
        <c:delete val="0"/>
        <c:axPos val="l"/>
        <c:majorGridlines>
          <c:spPr>
            <a:ln w="15875">
              <a:solidFill>
                <a:schemeClr val="bg2">
                  <a:lumMod val="50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% dose</a:t>
                </a:r>
              </a:p>
            </c:rich>
          </c:tx>
          <c:overlay val="0"/>
        </c:title>
        <c:numFmt formatCode="0" sourceLinked="0"/>
        <c:majorTickMark val="out"/>
        <c:minorTickMark val="out"/>
        <c:tickLblPos val="nextTo"/>
        <c:spPr>
          <a:ln w="28575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791488"/>
        <c:crosses val="autoZero"/>
        <c:crossBetween val="midCat"/>
        <c:majorUnit val="10"/>
        <c:minorUnit val="1"/>
      </c:valAx>
      <c:spPr>
        <a:ln w="2857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770698249495676"/>
          <c:y val="0.10412534695143953"/>
          <c:w val="0.31352413179757516"/>
          <c:h val="0.17346683102311891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1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37816967093989"/>
          <c:y val="3.0526315789473759E-2"/>
          <c:w val="0.80153211427083959"/>
          <c:h val="0.8203751548171393"/>
        </c:manualLayout>
      </c:layout>
      <c:scatterChart>
        <c:scatterStyle val="smoothMarker"/>
        <c:varyColors val="0"/>
        <c:ser>
          <c:idx val="0"/>
          <c:order val="0"/>
          <c:tx>
            <c:v>3.5 x 3.5</c:v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'9 MeV PDD'!$A$9:$A$37</c:f>
              <c:numCache>
                <c:formatCode>0.00</c:formatCode>
                <c:ptCount val="2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2.2999999999999998</c:v>
                </c:pt>
                <c:pt idx="13">
                  <c:v>2.4</c:v>
                </c:pt>
                <c:pt idx="14">
                  <c:v>2.6</c:v>
                </c:pt>
                <c:pt idx="15">
                  <c:v>2.8000000000000003</c:v>
                </c:pt>
                <c:pt idx="16">
                  <c:v>3.0000000000000004</c:v>
                </c:pt>
                <c:pt idx="17">
                  <c:v>3.2000000000000006</c:v>
                </c:pt>
                <c:pt idx="18">
                  <c:v>3.4000000000000008</c:v>
                </c:pt>
                <c:pt idx="19">
                  <c:v>3.600000000000001</c:v>
                </c:pt>
                <c:pt idx="20">
                  <c:v>3.8000000000000012</c:v>
                </c:pt>
                <c:pt idx="21">
                  <c:v>4.0000000000000009</c:v>
                </c:pt>
                <c:pt idx="22">
                  <c:v>4.2000000000000011</c:v>
                </c:pt>
                <c:pt idx="23">
                  <c:v>4.4000000000000012</c:v>
                </c:pt>
                <c:pt idx="24">
                  <c:v>4.6000000000000014</c:v>
                </c:pt>
                <c:pt idx="25">
                  <c:v>4.8000000000000016</c:v>
                </c:pt>
                <c:pt idx="26">
                  <c:v>5.0000000000000018</c:v>
                </c:pt>
                <c:pt idx="27">
                  <c:v>6.0000000000000027</c:v>
                </c:pt>
                <c:pt idx="28">
                  <c:v>7.0000000000000036</c:v>
                </c:pt>
              </c:numCache>
            </c:numRef>
          </c:xVal>
          <c:yVal>
            <c:numRef>
              <c:f>'9 MeV PDD'!$B$9:$B$37</c:f>
              <c:numCache>
                <c:formatCode>0.0</c:formatCode>
                <c:ptCount val="29"/>
                <c:pt idx="0">
                  <c:v>80</c:v>
                </c:pt>
                <c:pt idx="1">
                  <c:v>82.5</c:v>
                </c:pt>
                <c:pt idx="2">
                  <c:v>85.2</c:v>
                </c:pt>
                <c:pt idx="3">
                  <c:v>87.6</c:v>
                </c:pt>
                <c:pt idx="4">
                  <c:v>90</c:v>
                </c:pt>
                <c:pt idx="5">
                  <c:v>91.8</c:v>
                </c:pt>
                <c:pt idx="6">
                  <c:v>93.7</c:v>
                </c:pt>
                <c:pt idx="7">
                  <c:v>95.4</c:v>
                </c:pt>
                <c:pt idx="8">
                  <c:v>97.1</c:v>
                </c:pt>
                <c:pt idx="9">
                  <c:v>98.5</c:v>
                </c:pt>
                <c:pt idx="10">
                  <c:v>99.4</c:v>
                </c:pt>
                <c:pt idx="11">
                  <c:v>100</c:v>
                </c:pt>
                <c:pt idx="12">
                  <c:v>99.7</c:v>
                </c:pt>
                <c:pt idx="13">
                  <c:v>99</c:v>
                </c:pt>
                <c:pt idx="14">
                  <c:v>95.7</c:v>
                </c:pt>
                <c:pt idx="15">
                  <c:v>90</c:v>
                </c:pt>
                <c:pt idx="16">
                  <c:v>79.7</c:v>
                </c:pt>
                <c:pt idx="17">
                  <c:v>68.8</c:v>
                </c:pt>
                <c:pt idx="18">
                  <c:v>58</c:v>
                </c:pt>
                <c:pt idx="19">
                  <c:v>47.2</c:v>
                </c:pt>
                <c:pt idx="20">
                  <c:v>36</c:v>
                </c:pt>
                <c:pt idx="21">
                  <c:v>25.5</c:v>
                </c:pt>
                <c:pt idx="22">
                  <c:v>16.600000000000001</c:v>
                </c:pt>
                <c:pt idx="23">
                  <c:v>8.6999999999999993</c:v>
                </c:pt>
                <c:pt idx="24">
                  <c:v>5</c:v>
                </c:pt>
                <c:pt idx="25">
                  <c:v>3</c:v>
                </c:pt>
                <c:pt idx="26">
                  <c:v>2</c:v>
                </c:pt>
                <c:pt idx="27">
                  <c:v>1.7</c:v>
                </c:pt>
                <c:pt idx="28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02-4F95-8AE0-F5F3C0AAFFFE}"/>
            </c:ext>
          </c:extLst>
        </c:ser>
        <c:ser>
          <c:idx val="2"/>
          <c:order val="1"/>
          <c:tx>
            <c:v>5 x 5 and larger</c:v>
          </c:tx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'9 MeV PDD'!$A$9:$A$37</c:f>
              <c:numCache>
                <c:formatCode>0.00</c:formatCode>
                <c:ptCount val="29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2.2999999999999998</c:v>
                </c:pt>
                <c:pt idx="13">
                  <c:v>2.4</c:v>
                </c:pt>
                <c:pt idx="14">
                  <c:v>2.6</c:v>
                </c:pt>
                <c:pt idx="15">
                  <c:v>2.8000000000000003</c:v>
                </c:pt>
                <c:pt idx="16">
                  <c:v>3.0000000000000004</c:v>
                </c:pt>
                <c:pt idx="17">
                  <c:v>3.2000000000000006</c:v>
                </c:pt>
                <c:pt idx="18">
                  <c:v>3.4000000000000008</c:v>
                </c:pt>
                <c:pt idx="19">
                  <c:v>3.600000000000001</c:v>
                </c:pt>
                <c:pt idx="20">
                  <c:v>3.8000000000000012</c:v>
                </c:pt>
                <c:pt idx="21">
                  <c:v>4.0000000000000009</c:v>
                </c:pt>
                <c:pt idx="22">
                  <c:v>4.2000000000000011</c:v>
                </c:pt>
                <c:pt idx="23">
                  <c:v>4.4000000000000012</c:v>
                </c:pt>
                <c:pt idx="24">
                  <c:v>4.6000000000000014</c:v>
                </c:pt>
                <c:pt idx="25">
                  <c:v>4.8000000000000016</c:v>
                </c:pt>
                <c:pt idx="26">
                  <c:v>5.0000000000000018</c:v>
                </c:pt>
                <c:pt idx="27">
                  <c:v>6.0000000000000027</c:v>
                </c:pt>
                <c:pt idx="28">
                  <c:v>7.0000000000000036</c:v>
                </c:pt>
              </c:numCache>
            </c:numRef>
          </c:xVal>
          <c:yVal>
            <c:numRef>
              <c:f>'9 MeV PDD'!$C$9:$C$37</c:f>
              <c:numCache>
                <c:formatCode>0.0</c:formatCode>
                <c:ptCount val="29"/>
                <c:pt idx="0">
                  <c:v>78</c:v>
                </c:pt>
                <c:pt idx="1">
                  <c:v>80.400000000000006</c:v>
                </c:pt>
                <c:pt idx="2">
                  <c:v>82.8</c:v>
                </c:pt>
                <c:pt idx="3">
                  <c:v>85.2</c:v>
                </c:pt>
                <c:pt idx="4">
                  <c:v>87.6</c:v>
                </c:pt>
                <c:pt idx="5">
                  <c:v>90</c:v>
                </c:pt>
                <c:pt idx="6">
                  <c:v>92</c:v>
                </c:pt>
                <c:pt idx="7">
                  <c:v>94</c:v>
                </c:pt>
                <c:pt idx="8">
                  <c:v>96</c:v>
                </c:pt>
                <c:pt idx="9">
                  <c:v>97.7</c:v>
                </c:pt>
                <c:pt idx="10">
                  <c:v>99</c:v>
                </c:pt>
                <c:pt idx="11">
                  <c:v>99.9</c:v>
                </c:pt>
                <c:pt idx="12">
                  <c:v>100</c:v>
                </c:pt>
                <c:pt idx="13">
                  <c:v>99.4</c:v>
                </c:pt>
                <c:pt idx="14">
                  <c:v>96</c:v>
                </c:pt>
                <c:pt idx="15">
                  <c:v>91.7</c:v>
                </c:pt>
                <c:pt idx="16">
                  <c:v>84.4</c:v>
                </c:pt>
                <c:pt idx="17">
                  <c:v>73.099999999999994</c:v>
                </c:pt>
                <c:pt idx="18">
                  <c:v>61.8</c:v>
                </c:pt>
                <c:pt idx="19">
                  <c:v>50.5</c:v>
                </c:pt>
                <c:pt idx="20">
                  <c:v>39.299999999999997</c:v>
                </c:pt>
                <c:pt idx="21">
                  <c:v>28</c:v>
                </c:pt>
                <c:pt idx="22">
                  <c:v>19</c:v>
                </c:pt>
                <c:pt idx="23">
                  <c:v>10</c:v>
                </c:pt>
                <c:pt idx="24">
                  <c:v>5</c:v>
                </c:pt>
                <c:pt idx="25">
                  <c:v>3</c:v>
                </c:pt>
                <c:pt idx="26">
                  <c:v>2</c:v>
                </c:pt>
                <c:pt idx="27">
                  <c:v>1.9</c:v>
                </c:pt>
                <c:pt idx="28">
                  <c:v>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02-4F95-8AE0-F5F3C0AAF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39520"/>
        <c:axId val="64941440"/>
      </c:scatterChart>
      <c:valAx>
        <c:axId val="64939520"/>
        <c:scaling>
          <c:orientation val="minMax"/>
          <c:max val="7"/>
        </c:scaling>
        <c:delete val="0"/>
        <c:axPos val="b"/>
        <c:majorGridlines>
          <c:spPr>
            <a:ln w="15875">
              <a:solidFill>
                <a:schemeClr val="bg2">
                  <a:lumMod val="50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depth (cm)</a:t>
                </a:r>
              </a:p>
            </c:rich>
          </c:tx>
          <c:overlay val="0"/>
        </c:title>
        <c:numFmt formatCode="0" sourceLinked="0"/>
        <c:majorTickMark val="out"/>
        <c:minorTickMark val="out"/>
        <c:tickLblPos val="nextTo"/>
        <c:spPr>
          <a:ln w="28575">
            <a:solidFill>
              <a:schemeClr val="tx1"/>
            </a:solidFill>
          </a:ln>
        </c:spPr>
        <c:txPr>
          <a:bodyPr rot="0" vert="horz"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41440"/>
        <c:crosses val="autoZero"/>
        <c:crossBetween val="midCat"/>
        <c:majorUnit val="1"/>
        <c:minorUnit val="0.1"/>
      </c:valAx>
      <c:valAx>
        <c:axId val="64941440"/>
        <c:scaling>
          <c:orientation val="minMax"/>
          <c:max val="105"/>
          <c:min val="0"/>
        </c:scaling>
        <c:delete val="0"/>
        <c:axPos val="l"/>
        <c:majorGridlines>
          <c:spPr>
            <a:ln w="15875">
              <a:solidFill>
                <a:schemeClr val="bg2">
                  <a:lumMod val="50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% dose</a:t>
                </a:r>
              </a:p>
            </c:rich>
          </c:tx>
          <c:overlay val="0"/>
        </c:title>
        <c:numFmt formatCode="0" sourceLinked="0"/>
        <c:majorTickMark val="out"/>
        <c:minorTickMark val="out"/>
        <c:tickLblPos val="nextTo"/>
        <c:spPr>
          <a:ln w="28575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39520"/>
        <c:crosses val="autoZero"/>
        <c:crossBetween val="midCat"/>
        <c:majorUnit val="10"/>
        <c:minorUnit val="1"/>
      </c:valAx>
      <c:spPr>
        <a:ln w="2857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7706975948394801"/>
          <c:y val="0.10412538366697567"/>
          <c:w val="0.24433664238572128"/>
          <c:h val="5.930730605868989E-2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1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893380974437057E-2"/>
          <c:y val="3.0526315789473703E-2"/>
          <c:w val="0.85001698317122099"/>
          <c:h val="0.89684228945066058"/>
        </c:manualLayout>
      </c:layout>
      <c:scatterChart>
        <c:scatterStyle val="smoothMarker"/>
        <c:varyColors val="0"/>
        <c:ser>
          <c:idx val="2"/>
          <c:order val="0"/>
          <c:tx>
            <c:v>12 MeV</c:v>
          </c:tx>
          <c:marker>
            <c:symbol val="none"/>
          </c:marker>
          <c:xVal>
            <c:numRef>
              <c:f>' 12-20 MeV PDD'!$A$9:$A$84</c:f>
              <c:numCache>
                <c:formatCode>0.00</c:formatCode>
                <c:ptCount val="7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  <c:pt idx="51">
                  <c:v>10.199999999999996</c:v>
                </c:pt>
                <c:pt idx="52">
                  <c:v>10.399999999999995</c:v>
                </c:pt>
                <c:pt idx="53">
                  <c:v>10.599999999999994</c:v>
                </c:pt>
                <c:pt idx="54">
                  <c:v>10.799999999999994</c:v>
                </c:pt>
                <c:pt idx="55">
                  <c:v>10.999999999999993</c:v>
                </c:pt>
                <c:pt idx="56">
                  <c:v>11.199999999999992</c:v>
                </c:pt>
                <c:pt idx="57">
                  <c:v>11.399999999999991</c:v>
                </c:pt>
                <c:pt idx="58">
                  <c:v>11.599999999999991</c:v>
                </c:pt>
                <c:pt idx="59">
                  <c:v>11.79999999999999</c:v>
                </c:pt>
                <c:pt idx="60">
                  <c:v>11.999999999999989</c:v>
                </c:pt>
                <c:pt idx="61">
                  <c:v>12.199999999999989</c:v>
                </c:pt>
                <c:pt idx="62">
                  <c:v>12.399999999999988</c:v>
                </c:pt>
                <c:pt idx="63">
                  <c:v>12.599999999999987</c:v>
                </c:pt>
                <c:pt idx="64">
                  <c:v>12.799999999999986</c:v>
                </c:pt>
                <c:pt idx="65">
                  <c:v>12.999999999999986</c:v>
                </c:pt>
                <c:pt idx="66">
                  <c:v>13.199999999999985</c:v>
                </c:pt>
                <c:pt idx="67">
                  <c:v>13.399999999999984</c:v>
                </c:pt>
                <c:pt idx="68">
                  <c:v>13.599999999999984</c:v>
                </c:pt>
                <c:pt idx="69">
                  <c:v>13.799999999999983</c:v>
                </c:pt>
                <c:pt idx="70">
                  <c:v>13.999999999999982</c:v>
                </c:pt>
                <c:pt idx="71">
                  <c:v>14.199999999999982</c:v>
                </c:pt>
                <c:pt idx="72">
                  <c:v>14.399999999999981</c:v>
                </c:pt>
                <c:pt idx="73">
                  <c:v>14.59999999999998</c:v>
                </c:pt>
                <c:pt idx="74">
                  <c:v>14.799999999999979</c:v>
                </c:pt>
                <c:pt idx="75">
                  <c:v>14.999999999999979</c:v>
                </c:pt>
              </c:numCache>
            </c:numRef>
          </c:xVal>
          <c:yVal>
            <c:numRef>
              <c:f>' 12-20 MeV PDD'!$B$9:$B$84</c:f>
              <c:numCache>
                <c:formatCode>0.0</c:formatCode>
                <c:ptCount val="76"/>
                <c:pt idx="0">
                  <c:v>84</c:v>
                </c:pt>
                <c:pt idx="1">
                  <c:v>87.4</c:v>
                </c:pt>
                <c:pt idx="2">
                  <c:v>90</c:v>
                </c:pt>
                <c:pt idx="3">
                  <c:v>91.7</c:v>
                </c:pt>
                <c:pt idx="4">
                  <c:v>93.3</c:v>
                </c:pt>
                <c:pt idx="5">
                  <c:v>94.5</c:v>
                </c:pt>
                <c:pt idx="6">
                  <c:v>95.5</c:v>
                </c:pt>
                <c:pt idx="7">
                  <c:v>96.3</c:v>
                </c:pt>
                <c:pt idx="8">
                  <c:v>97.1</c:v>
                </c:pt>
                <c:pt idx="9">
                  <c:v>97.7</c:v>
                </c:pt>
                <c:pt idx="10">
                  <c:v>98.3</c:v>
                </c:pt>
                <c:pt idx="11">
                  <c:v>98.8</c:v>
                </c:pt>
                <c:pt idx="12">
                  <c:v>99.3</c:v>
                </c:pt>
                <c:pt idx="13">
                  <c:v>99.7</c:v>
                </c:pt>
                <c:pt idx="14">
                  <c:v>100</c:v>
                </c:pt>
                <c:pt idx="15">
                  <c:v>100</c:v>
                </c:pt>
                <c:pt idx="16">
                  <c:v>99.6</c:v>
                </c:pt>
                <c:pt idx="17">
                  <c:v>98.9</c:v>
                </c:pt>
                <c:pt idx="18">
                  <c:v>97.6</c:v>
                </c:pt>
                <c:pt idx="19">
                  <c:v>94.8</c:v>
                </c:pt>
                <c:pt idx="20">
                  <c:v>91.6</c:v>
                </c:pt>
                <c:pt idx="21">
                  <c:v>86.7</c:v>
                </c:pt>
                <c:pt idx="22">
                  <c:v>80</c:v>
                </c:pt>
                <c:pt idx="23">
                  <c:v>71.099999999999994</c:v>
                </c:pt>
                <c:pt idx="24">
                  <c:v>62.2</c:v>
                </c:pt>
                <c:pt idx="25">
                  <c:v>53.3</c:v>
                </c:pt>
                <c:pt idx="26">
                  <c:v>44.4</c:v>
                </c:pt>
                <c:pt idx="27">
                  <c:v>35</c:v>
                </c:pt>
                <c:pt idx="28">
                  <c:v>25</c:v>
                </c:pt>
                <c:pt idx="29">
                  <c:v>16.7</c:v>
                </c:pt>
                <c:pt idx="30">
                  <c:v>10</c:v>
                </c:pt>
                <c:pt idx="31">
                  <c:v>7</c:v>
                </c:pt>
                <c:pt idx="32">
                  <c:v>4.9000000000000004</c:v>
                </c:pt>
                <c:pt idx="33">
                  <c:v>3.8</c:v>
                </c:pt>
                <c:pt idx="34">
                  <c:v>3.1</c:v>
                </c:pt>
                <c:pt idx="35">
                  <c:v>2.5</c:v>
                </c:pt>
                <c:pt idx="36">
                  <c:v>2.4</c:v>
                </c:pt>
                <c:pt idx="37">
                  <c:v>2.2999999999999998</c:v>
                </c:pt>
                <c:pt idx="38">
                  <c:v>2.2000000000000002</c:v>
                </c:pt>
                <c:pt idx="39">
                  <c:v>2.1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1.9</c:v>
                </c:pt>
                <c:pt idx="44">
                  <c:v>1.9</c:v>
                </c:pt>
                <c:pt idx="45">
                  <c:v>1.9</c:v>
                </c:pt>
                <c:pt idx="46">
                  <c:v>1.9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1.7</c:v>
                </c:pt>
                <c:pt idx="52">
                  <c:v>1.7</c:v>
                </c:pt>
                <c:pt idx="53">
                  <c:v>1.7</c:v>
                </c:pt>
                <c:pt idx="54">
                  <c:v>1.7</c:v>
                </c:pt>
                <c:pt idx="55">
                  <c:v>1.6</c:v>
                </c:pt>
                <c:pt idx="56">
                  <c:v>1.6</c:v>
                </c:pt>
                <c:pt idx="57">
                  <c:v>1.6</c:v>
                </c:pt>
                <c:pt idx="58">
                  <c:v>1.6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1.4</c:v>
                </c:pt>
                <c:pt idx="64">
                  <c:v>1.4</c:v>
                </c:pt>
                <c:pt idx="65">
                  <c:v>1.4</c:v>
                </c:pt>
                <c:pt idx="66">
                  <c:v>1.4</c:v>
                </c:pt>
                <c:pt idx="67">
                  <c:v>1.3</c:v>
                </c:pt>
                <c:pt idx="68">
                  <c:v>1.3</c:v>
                </c:pt>
                <c:pt idx="69">
                  <c:v>1.3</c:v>
                </c:pt>
                <c:pt idx="70">
                  <c:v>1.3</c:v>
                </c:pt>
                <c:pt idx="71">
                  <c:v>1.2</c:v>
                </c:pt>
                <c:pt idx="72">
                  <c:v>1.2</c:v>
                </c:pt>
                <c:pt idx="73">
                  <c:v>1.2</c:v>
                </c:pt>
                <c:pt idx="74">
                  <c:v>1.2</c:v>
                </c:pt>
                <c:pt idx="75">
                  <c:v>1.1000000000000001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F3-4A56-8C6C-A5728C77B540}"/>
            </c:ext>
          </c:extLst>
        </c:ser>
        <c:ser>
          <c:idx val="3"/>
          <c:order val="1"/>
          <c:tx>
            <c:v>16 MeV</c:v>
          </c:tx>
          <c:marker>
            <c:symbol val="none"/>
          </c:marker>
          <c:xVal>
            <c:numRef>
              <c:f>' 12-20 MeV PDD'!$A$9:$A$84</c:f>
              <c:numCache>
                <c:formatCode>0.00</c:formatCode>
                <c:ptCount val="7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  <c:pt idx="51">
                  <c:v>10.199999999999996</c:v>
                </c:pt>
                <c:pt idx="52">
                  <c:v>10.399999999999995</c:v>
                </c:pt>
                <c:pt idx="53">
                  <c:v>10.599999999999994</c:v>
                </c:pt>
                <c:pt idx="54">
                  <c:v>10.799999999999994</c:v>
                </c:pt>
                <c:pt idx="55">
                  <c:v>10.999999999999993</c:v>
                </c:pt>
                <c:pt idx="56">
                  <c:v>11.199999999999992</c:v>
                </c:pt>
                <c:pt idx="57">
                  <c:v>11.399999999999991</c:v>
                </c:pt>
                <c:pt idx="58">
                  <c:v>11.599999999999991</c:v>
                </c:pt>
                <c:pt idx="59">
                  <c:v>11.79999999999999</c:v>
                </c:pt>
                <c:pt idx="60">
                  <c:v>11.999999999999989</c:v>
                </c:pt>
                <c:pt idx="61">
                  <c:v>12.199999999999989</c:v>
                </c:pt>
                <c:pt idx="62">
                  <c:v>12.399999999999988</c:v>
                </c:pt>
                <c:pt idx="63">
                  <c:v>12.599999999999987</c:v>
                </c:pt>
                <c:pt idx="64">
                  <c:v>12.799999999999986</c:v>
                </c:pt>
                <c:pt idx="65">
                  <c:v>12.999999999999986</c:v>
                </c:pt>
                <c:pt idx="66">
                  <c:v>13.199999999999985</c:v>
                </c:pt>
                <c:pt idx="67">
                  <c:v>13.399999999999984</c:v>
                </c:pt>
                <c:pt idx="68">
                  <c:v>13.599999999999984</c:v>
                </c:pt>
                <c:pt idx="69">
                  <c:v>13.799999999999983</c:v>
                </c:pt>
                <c:pt idx="70">
                  <c:v>13.999999999999982</c:v>
                </c:pt>
                <c:pt idx="71">
                  <c:v>14.199999999999982</c:v>
                </c:pt>
                <c:pt idx="72">
                  <c:v>14.399999999999981</c:v>
                </c:pt>
                <c:pt idx="73">
                  <c:v>14.59999999999998</c:v>
                </c:pt>
                <c:pt idx="74">
                  <c:v>14.799999999999979</c:v>
                </c:pt>
                <c:pt idx="75">
                  <c:v>14.999999999999979</c:v>
                </c:pt>
              </c:numCache>
            </c:numRef>
          </c:xVal>
          <c:yVal>
            <c:numRef>
              <c:f>' 12-20 MeV PDD'!$C$9:$C$84</c:f>
              <c:numCache>
                <c:formatCode>0.0</c:formatCode>
                <c:ptCount val="76"/>
                <c:pt idx="0">
                  <c:v>88</c:v>
                </c:pt>
                <c:pt idx="1">
                  <c:v>91</c:v>
                </c:pt>
                <c:pt idx="2">
                  <c:v>94</c:v>
                </c:pt>
                <c:pt idx="3">
                  <c:v>96</c:v>
                </c:pt>
                <c:pt idx="4">
                  <c:v>97.2</c:v>
                </c:pt>
                <c:pt idx="5">
                  <c:v>98.1</c:v>
                </c:pt>
                <c:pt idx="6">
                  <c:v>98.7</c:v>
                </c:pt>
                <c:pt idx="7">
                  <c:v>99.15</c:v>
                </c:pt>
                <c:pt idx="8">
                  <c:v>99.5</c:v>
                </c:pt>
                <c:pt idx="9">
                  <c:v>99.8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99.95</c:v>
                </c:pt>
                <c:pt idx="20">
                  <c:v>99.1</c:v>
                </c:pt>
                <c:pt idx="21">
                  <c:v>98</c:v>
                </c:pt>
                <c:pt idx="22">
                  <c:v>96.9</c:v>
                </c:pt>
                <c:pt idx="23">
                  <c:v>95.6</c:v>
                </c:pt>
                <c:pt idx="24">
                  <c:v>94.2</c:v>
                </c:pt>
                <c:pt idx="25">
                  <c:v>92.5</c:v>
                </c:pt>
                <c:pt idx="26">
                  <c:v>89.9</c:v>
                </c:pt>
                <c:pt idx="27">
                  <c:v>86.9</c:v>
                </c:pt>
                <c:pt idx="28">
                  <c:v>83.6</c:v>
                </c:pt>
                <c:pt idx="29">
                  <c:v>79.8</c:v>
                </c:pt>
                <c:pt idx="30">
                  <c:v>74</c:v>
                </c:pt>
                <c:pt idx="31">
                  <c:v>68</c:v>
                </c:pt>
                <c:pt idx="32">
                  <c:v>62</c:v>
                </c:pt>
                <c:pt idx="33">
                  <c:v>56</c:v>
                </c:pt>
                <c:pt idx="34">
                  <c:v>50</c:v>
                </c:pt>
                <c:pt idx="35">
                  <c:v>43.3</c:v>
                </c:pt>
                <c:pt idx="36">
                  <c:v>36.700000000000003</c:v>
                </c:pt>
                <c:pt idx="37">
                  <c:v>30</c:v>
                </c:pt>
                <c:pt idx="38">
                  <c:v>25</c:v>
                </c:pt>
                <c:pt idx="39">
                  <c:v>20</c:v>
                </c:pt>
                <c:pt idx="40">
                  <c:v>15</c:v>
                </c:pt>
                <c:pt idx="41">
                  <c:v>10</c:v>
                </c:pt>
                <c:pt idx="42">
                  <c:v>7.2</c:v>
                </c:pt>
                <c:pt idx="43">
                  <c:v>5.9</c:v>
                </c:pt>
                <c:pt idx="44">
                  <c:v>5.0999999999999996</c:v>
                </c:pt>
                <c:pt idx="45">
                  <c:v>4.9000000000000004</c:v>
                </c:pt>
                <c:pt idx="46">
                  <c:v>4.9000000000000004</c:v>
                </c:pt>
                <c:pt idx="47">
                  <c:v>4.8</c:v>
                </c:pt>
                <c:pt idx="48">
                  <c:v>4.8</c:v>
                </c:pt>
                <c:pt idx="49">
                  <c:v>4.7</c:v>
                </c:pt>
                <c:pt idx="50">
                  <c:v>4.7</c:v>
                </c:pt>
                <c:pt idx="51">
                  <c:v>4.5999999999999996</c:v>
                </c:pt>
                <c:pt idx="52">
                  <c:v>4.5999999999999996</c:v>
                </c:pt>
                <c:pt idx="53">
                  <c:v>4.5</c:v>
                </c:pt>
                <c:pt idx="54">
                  <c:v>4.4000000000000004</c:v>
                </c:pt>
                <c:pt idx="55">
                  <c:v>4.4000000000000004</c:v>
                </c:pt>
                <c:pt idx="56">
                  <c:v>4.3</c:v>
                </c:pt>
                <c:pt idx="57">
                  <c:v>4.3</c:v>
                </c:pt>
                <c:pt idx="58">
                  <c:v>4.2</c:v>
                </c:pt>
                <c:pt idx="59">
                  <c:v>4.2</c:v>
                </c:pt>
                <c:pt idx="60">
                  <c:v>4.0999999999999996</c:v>
                </c:pt>
                <c:pt idx="61">
                  <c:v>4.0999999999999996</c:v>
                </c:pt>
                <c:pt idx="62">
                  <c:v>4</c:v>
                </c:pt>
                <c:pt idx="63">
                  <c:v>3.9</c:v>
                </c:pt>
                <c:pt idx="64">
                  <c:v>3.9</c:v>
                </c:pt>
                <c:pt idx="65">
                  <c:v>3.8</c:v>
                </c:pt>
                <c:pt idx="66">
                  <c:v>3.8</c:v>
                </c:pt>
                <c:pt idx="67">
                  <c:v>3.7</c:v>
                </c:pt>
                <c:pt idx="68">
                  <c:v>3.7</c:v>
                </c:pt>
                <c:pt idx="69">
                  <c:v>3.6</c:v>
                </c:pt>
                <c:pt idx="70">
                  <c:v>3.6</c:v>
                </c:pt>
                <c:pt idx="71">
                  <c:v>3.5</c:v>
                </c:pt>
                <c:pt idx="72">
                  <c:v>3.4</c:v>
                </c:pt>
                <c:pt idx="73">
                  <c:v>3.4</c:v>
                </c:pt>
                <c:pt idx="74">
                  <c:v>3.3</c:v>
                </c:pt>
                <c:pt idx="75">
                  <c:v>3.3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F3-4A56-8C6C-A5728C77B540}"/>
            </c:ext>
          </c:extLst>
        </c:ser>
        <c:ser>
          <c:idx val="4"/>
          <c:order val="2"/>
          <c:tx>
            <c:v>20 MeV</c:v>
          </c:tx>
          <c:marker>
            <c:symbol val="none"/>
          </c:marker>
          <c:xVal>
            <c:numRef>
              <c:f>' 12-20 MeV PDD'!$A$9:$A$84</c:f>
              <c:numCache>
                <c:formatCode>0.00</c:formatCode>
                <c:ptCount val="7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  <c:pt idx="41">
                  <c:v>8.2000000000000028</c:v>
                </c:pt>
                <c:pt idx="42">
                  <c:v>8.4000000000000021</c:v>
                </c:pt>
                <c:pt idx="43">
                  <c:v>8.6000000000000014</c:v>
                </c:pt>
                <c:pt idx="44">
                  <c:v>8.8000000000000007</c:v>
                </c:pt>
                <c:pt idx="45">
                  <c:v>9</c:v>
                </c:pt>
                <c:pt idx="46">
                  <c:v>9.1999999999999993</c:v>
                </c:pt>
                <c:pt idx="47">
                  <c:v>9.3999999999999986</c:v>
                </c:pt>
                <c:pt idx="48">
                  <c:v>9.5999999999999979</c:v>
                </c:pt>
                <c:pt idx="49">
                  <c:v>9.7999999999999972</c:v>
                </c:pt>
                <c:pt idx="50">
                  <c:v>9.9999999999999964</c:v>
                </c:pt>
                <c:pt idx="51">
                  <c:v>10.199999999999996</c:v>
                </c:pt>
                <c:pt idx="52">
                  <c:v>10.399999999999995</c:v>
                </c:pt>
                <c:pt idx="53">
                  <c:v>10.599999999999994</c:v>
                </c:pt>
                <c:pt idx="54">
                  <c:v>10.799999999999994</c:v>
                </c:pt>
                <c:pt idx="55">
                  <c:v>10.999999999999993</c:v>
                </c:pt>
                <c:pt idx="56">
                  <c:v>11.199999999999992</c:v>
                </c:pt>
                <c:pt idx="57">
                  <c:v>11.399999999999991</c:v>
                </c:pt>
                <c:pt idx="58">
                  <c:v>11.599999999999991</c:v>
                </c:pt>
                <c:pt idx="59">
                  <c:v>11.79999999999999</c:v>
                </c:pt>
                <c:pt idx="60">
                  <c:v>11.999999999999989</c:v>
                </c:pt>
                <c:pt idx="61">
                  <c:v>12.199999999999989</c:v>
                </c:pt>
                <c:pt idx="62">
                  <c:v>12.399999999999988</c:v>
                </c:pt>
                <c:pt idx="63">
                  <c:v>12.599999999999987</c:v>
                </c:pt>
                <c:pt idx="64">
                  <c:v>12.799999999999986</c:v>
                </c:pt>
                <c:pt idx="65">
                  <c:v>12.999999999999986</c:v>
                </c:pt>
                <c:pt idx="66">
                  <c:v>13.199999999999985</c:v>
                </c:pt>
                <c:pt idx="67">
                  <c:v>13.399999999999984</c:v>
                </c:pt>
                <c:pt idx="68">
                  <c:v>13.599999999999984</c:v>
                </c:pt>
                <c:pt idx="69">
                  <c:v>13.799999999999983</c:v>
                </c:pt>
                <c:pt idx="70">
                  <c:v>13.999999999999982</c:v>
                </c:pt>
                <c:pt idx="71">
                  <c:v>14.199999999999982</c:v>
                </c:pt>
                <c:pt idx="72">
                  <c:v>14.399999999999981</c:v>
                </c:pt>
                <c:pt idx="73">
                  <c:v>14.59999999999998</c:v>
                </c:pt>
                <c:pt idx="74">
                  <c:v>14.799999999999979</c:v>
                </c:pt>
                <c:pt idx="75">
                  <c:v>14.999999999999979</c:v>
                </c:pt>
              </c:numCache>
            </c:numRef>
          </c:xVal>
          <c:yVal>
            <c:numRef>
              <c:f>' 12-20 MeV PDD'!$D$9:$D$84</c:f>
              <c:numCache>
                <c:formatCode>0.0</c:formatCode>
                <c:ptCount val="76"/>
                <c:pt idx="0">
                  <c:v>90</c:v>
                </c:pt>
                <c:pt idx="1">
                  <c:v>93.3</c:v>
                </c:pt>
                <c:pt idx="2">
                  <c:v>95.7</c:v>
                </c:pt>
                <c:pt idx="3">
                  <c:v>97.3</c:v>
                </c:pt>
                <c:pt idx="4">
                  <c:v>98.5</c:v>
                </c:pt>
                <c:pt idx="5">
                  <c:v>99.2</c:v>
                </c:pt>
                <c:pt idx="6">
                  <c:v>99.6</c:v>
                </c:pt>
                <c:pt idx="7">
                  <c:v>99.9</c:v>
                </c:pt>
                <c:pt idx="8">
                  <c:v>99.9</c:v>
                </c:pt>
                <c:pt idx="9">
                  <c:v>99.9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99.95</c:v>
                </c:pt>
                <c:pt idx="21">
                  <c:v>99.6</c:v>
                </c:pt>
                <c:pt idx="22">
                  <c:v>99.1</c:v>
                </c:pt>
                <c:pt idx="23">
                  <c:v>98.5</c:v>
                </c:pt>
                <c:pt idx="24">
                  <c:v>97.9</c:v>
                </c:pt>
                <c:pt idx="25">
                  <c:v>97</c:v>
                </c:pt>
                <c:pt idx="26">
                  <c:v>95.9</c:v>
                </c:pt>
                <c:pt idx="27">
                  <c:v>94.7</c:v>
                </c:pt>
                <c:pt idx="28">
                  <c:v>93.4</c:v>
                </c:pt>
                <c:pt idx="29">
                  <c:v>92.1</c:v>
                </c:pt>
                <c:pt idx="30">
                  <c:v>90.6</c:v>
                </c:pt>
                <c:pt idx="31">
                  <c:v>89</c:v>
                </c:pt>
                <c:pt idx="32">
                  <c:v>87</c:v>
                </c:pt>
                <c:pt idx="33">
                  <c:v>85</c:v>
                </c:pt>
                <c:pt idx="34">
                  <c:v>82.6</c:v>
                </c:pt>
                <c:pt idx="35">
                  <c:v>80</c:v>
                </c:pt>
                <c:pt idx="36">
                  <c:v>76</c:v>
                </c:pt>
                <c:pt idx="37">
                  <c:v>72</c:v>
                </c:pt>
                <c:pt idx="38">
                  <c:v>68</c:v>
                </c:pt>
                <c:pt idx="39">
                  <c:v>64</c:v>
                </c:pt>
                <c:pt idx="40">
                  <c:v>60</c:v>
                </c:pt>
                <c:pt idx="41">
                  <c:v>55.3</c:v>
                </c:pt>
                <c:pt idx="42">
                  <c:v>50.6</c:v>
                </c:pt>
                <c:pt idx="43">
                  <c:v>45.9</c:v>
                </c:pt>
                <c:pt idx="44">
                  <c:v>41.2</c:v>
                </c:pt>
                <c:pt idx="45">
                  <c:v>36.799999999999997</c:v>
                </c:pt>
                <c:pt idx="46">
                  <c:v>32.6</c:v>
                </c:pt>
                <c:pt idx="47">
                  <c:v>28.4</c:v>
                </c:pt>
                <c:pt idx="48">
                  <c:v>24.2</c:v>
                </c:pt>
                <c:pt idx="49">
                  <c:v>20</c:v>
                </c:pt>
                <c:pt idx="50">
                  <c:v>16.8</c:v>
                </c:pt>
                <c:pt idx="51">
                  <c:v>13.9</c:v>
                </c:pt>
                <c:pt idx="52">
                  <c:v>11.4</c:v>
                </c:pt>
                <c:pt idx="53">
                  <c:v>9.5</c:v>
                </c:pt>
                <c:pt idx="54">
                  <c:v>8.5</c:v>
                </c:pt>
                <c:pt idx="55">
                  <c:v>7.7</c:v>
                </c:pt>
                <c:pt idx="56">
                  <c:v>7.3</c:v>
                </c:pt>
                <c:pt idx="57">
                  <c:v>6.9</c:v>
                </c:pt>
                <c:pt idx="58">
                  <c:v>6.6</c:v>
                </c:pt>
                <c:pt idx="59">
                  <c:v>6.3</c:v>
                </c:pt>
                <c:pt idx="60">
                  <c:v>6.07</c:v>
                </c:pt>
                <c:pt idx="61">
                  <c:v>6</c:v>
                </c:pt>
                <c:pt idx="62">
                  <c:v>5.9</c:v>
                </c:pt>
                <c:pt idx="63">
                  <c:v>5.9</c:v>
                </c:pt>
                <c:pt idx="64">
                  <c:v>5.8</c:v>
                </c:pt>
                <c:pt idx="65">
                  <c:v>5.8</c:v>
                </c:pt>
                <c:pt idx="66">
                  <c:v>5.7</c:v>
                </c:pt>
                <c:pt idx="67">
                  <c:v>5.7</c:v>
                </c:pt>
                <c:pt idx="68">
                  <c:v>5.6</c:v>
                </c:pt>
                <c:pt idx="69">
                  <c:v>5.6</c:v>
                </c:pt>
                <c:pt idx="70">
                  <c:v>5.5</c:v>
                </c:pt>
                <c:pt idx="71">
                  <c:v>5.5</c:v>
                </c:pt>
                <c:pt idx="72">
                  <c:v>5.4</c:v>
                </c:pt>
                <c:pt idx="73">
                  <c:v>5.4</c:v>
                </c:pt>
                <c:pt idx="74">
                  <c:v>5.3</c:v>
                </c:pt>
                <c:pt idx="75">
                  <c:v>5.3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F3-4A56-8C6C-A5728C77B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238168"/>
        <c:axId val="1"/>
      </c:scatterChart>
      <c:valAx>
        <c:axId val="625238168"/>
        <c:scaling>
          <c:orientation val="minMax"/>
        </c:scaling>
        <c:delete val="0"/>
        <c:axPos val="b"/>
        <c:majorGridlines>
          <c:spPr>
            <a:ln w="15875">
              <a:solidFill>
                <a:schemeClr val="bg2">
                  <a:lumMod val="50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depth (cm)</a:t>
                </a:r>
              </a:p>
            </c:rich>
          </c:tx>
          <c:overlay val="0"/>
        </c:title>
        <c:numFmt formatCode="0" sourceLinked="0"/>
        <c:majorTickMark val="out"/>
        <c:minorTickMark val="out"/>
        <c:tickLblPos val="nextTo"/>
        <c:spPr>
          <a:ln w="28575">
            <a:solidFill>
              <a:schemeClr val="tx1"/>
            </a:solidFill>
          </a:ln>
        </c:spPr>
        <c:txPr>
          <a:bodyPr rot="0" vert="horz"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1"/>
        <c:minorUnit val="0.1"/>
      </c:valAx>
      <c:valAx>
        <c:axId val="1"/>
        <c:scaling>
          <c:orientation val="minMax"/>
          <c:max val="105"/>
          <c:min val="0"/>
        </c:scaling>
        <c:delete val="0"/>
        <c:axPos val="l"/>
        <c:majorGridlines>
          <c:spPr>
            <a:ln w="15875">
              <a:solidFill>
                <a:schemeClr val="bg2">
                  <a:lumMod val="50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% dose</a:t>
                </a:r>
              </a:p>
            </c:rich>
          </c:tx>
          <c:overlay val="0"/>
        </c:title>
        <c:numFmt formatCode="0" sourceLinked="0"/>
        <c:majorTickMark val="out"/>
        <c:minorTickMark val="out"/>
        <c:tickLblPos val="nextTo"/>
        <c:spPr>
          <a:ln w="28575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5238168"/>
        <c:crosses val="autoZero"/>
        <c:crossBetween val="midCat"/>
        <c:majorUnit val="10"/>
        <c:minorUnit val="1"/>
      </c:valAx>
      <c:spPr>
        <a:ln w="2857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4580467675378261"/>
          <c:y val="0.18204933316442978"/>
          <c:w val="0.14993122420907845"/>
          <c:h val="0.18543629336764739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18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1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0</xdr:row>
      <xdr:rowOff>209550</xdr:rowOff>
    </xdr:from>
    <xdr:to>
      <xdr:col>17</xdr:col>
      <xdr:colOff>466725</xdr:colOff>
      <xdr:row>26</xdr:row>
      <xdr:rowOff>276225</xdr:rowOff>
    </xdr:to>
    <xdr:graphicFrame macro="">
      <xdr:nvGraphicFramePr>
        <xdr:cNvPr id="100399" name="Chart 3">
          <a:extLst>
            <a:ext uri="{FF2B5EF4-FFF2-40B4-BE49-F238E27FC236}">
              <a16:creationId xmlns:a16="http://schemas.microsoft.com/office/drawing/2014/main" id="{00000000-0008-0000-0000-00002F88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0</xdr:row>
      <xdr:rowOff>209550</xdr:rowOff>
    </xdr:from>
    <xdr:to>
      <xdr:col>18</xdr:col>
      <xdr:colOff>352425</xdr:colOff>
      <xdr:row>36</xdr:row>
      <xdr:rowOff>0</xdr:rowOff>
    </xdr:to>
    <xdr:graphicFrame macro="">
      <xdr:nvGraphicFramePr>
        <xdr:cNvPr id="174086" name="Chart 3">
          <a:extLst>
            <a:ext uri="{FF2B5EF4-FFF2-40B4-BE49-F238E27FC236}">
              <a16:creationId xmlns:a16="http://schemas.microsoft.com/office/drawing/2014/main" id="{00000000-0008-0000-0100-000006A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320040</xdr:colOff>
      <xdr:row>12</xdr:row>
      <xdr:rowOff>99060</xdr:rowOff>
    </xdr:from>
    <xdr:to>
      <xdr:col>22</xdr:col>
      <xdr:colOff>129540</xdr:colOff>
      <xdr:row>53</xdr:row>
      <xdr:rowOff>121920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D609BB07-4C19-41E4-915E-817D3BE73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P89"/>
  <sheetViews>
    <sheetView showGridLines="0" workbookViewId="0">
      <selection activeCell="F23" sqref="F23"/>
    </sheetView>
  </sheetViews>
  <sheetFormatPr defaultRowHeight="13.2" x14ac:dyDescent="0.25"/>
  <cols>
    <col min="1" max="1" width="9.88671875" customWidth="1"/>
    <col min="2" max="4" width="9.6640625" customWidth="1"/>
  </cols>
  <sheetData>
    <row r="1" spans="1:16" ht="28.8" customHeight="1" x14ac:dyDescent="0.35">
      <c r="A1" s="214" t="s">
        <v>29</v>
      </c>
      <c r="B1" s="215"/>
      <c r="C1" s="215"/>
      <c r="D1" s="215"/>
      <c r="E1" s="17"/>
    </row>
    <row r="2" spans="1:16" ht="25.8" customHeight="1" x14ac:dyDescent="0.3">
      <c r="A2" s="218" t="s">
        <v>9</v>
      </c>
      <c r="B2" s="219"/>
      <c r="C2" s="219"/>
      <c r="D2" s="219"/>
      <c r="E2" s="7"/>
      <c r="F2" s="7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17.25" customHeight="1" x14ac:dyDescent="0.3">
      <c r="A3" s="218" t="s">
        <v>60</v>
      </c>
      <c r="B3" s="219"/>
      <c r="C3" s="219"/>
      <c r="D3" s="219"/>
      <c r="E3" s="7"/>
      <c r="F3" s="7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7.25" customHeight="1" x14ac:dyDescent="0.25">
      <c r="A4" s="118"/>
      <c r="B4" s="119"/>
      <c r="C4" s="119"/>
      <c r="D4" s="119"/>
      <c r="E4" s="7"/>
      <c r="F4" s="7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ht="22.05" customHeight="1" thickBot="1" x14ac:dyDescent="0.3">
      <c r="A5" s="4"/>
      <c r="B5" s="167" t="s">
        <v>62</v>
      </c>
      <c r="C5" s="221">
        <v>3</v>
      </c>
      <c r="D5" s="3"/>
      <c r="E5" s="7"/>
      <c r="F5" s="7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ht="30" customHeight="1" thickTop="1" thickBot="1" x14ac:dyDescent="0.3">
      <c r="A6" s="8" t="s">
        <v>16</v>
      </c>
      <c r="B6" s="15">
        <v>2</v>
      </c>
      <c r="C6" s="15">
        <v>3</v>
      </c>
      <c r="D6" s="15" t="s">
        <v>55</v>
      </c>
      <c r="E6" s="9"/>
      <c r="F6" s="9"/>
      <c r="G6" s="9"/>
      <c r="H6" s="9"/>
      <c r="I6" s="9"/>
      <c r="J6" s="9"/>
      <c r="K6" s="9"/>
      <c r="L6" s="9"/>
    </row>
    <row r="7" spans="1:16" ht="21.75" customHeight="1" thickTop="1" x14ac:dyDescent="0.25">
      <c r="A7" s="224" t="s">
        <v>52</v>
      </c>
      <c r="B7" s="225">
        <v>1</v>
      </c>
      <c r="C7" s="225">
        <v>1.3</v>
      </c>
      <c r="D7" s="225">
        <v>1.5</v>
      </c>
      <c r="E7" s="9"/>
      <c r="F7" s="139" t="s">
        <v>4</v>
      </c>
      <c r="G7" s="120"/>
      <c r="H7" s="121"/>
      <c r="I7" s="9"/>
      <c r="J7" s="9"/>
      <c r="K7" s="9"/>
      <c r="L7" s="9"/>
    </row>
    <row r="8" spans="1:16" ht="17.25" customHeight="1" x14ac:dyDescent="0.25">
      <c r="A8" s="150" t="s">
        <v>53</v>
      </c>
      <c r="B8" s="60">
        <v>2</v>
      </c>
      <c r="C8" s="61">
        <v>3</v>
      </c>
      <c r="D8" s="23">
        <v>4</v>
      </c>
      <c r="E8" s="10"/>
      <c r="F8" s="172"/>
      <c r="H8" s="11"/>
      <c r="I8" s="11"/>
      <c r="J8" s="11"/>
      <c r="K8" s="11"/>
      <c r="L8" s="11"/>
    </row>
    <row r="9" spans="1:16" ht="15.9" customHeight="1" thickBot="1" x14ac:dyDescent="0.3">
      <c r="A9" s="151">
        <v>0</v>
      </c>
      <c r="B9" s="62">
        <v>86</v>
      </c>
      <c r="C9" s="63">
        <v>77</v>
      </c>
      <c r="D9" s="18">
        <v>73</v>
      </c>
      <c r="E9" s="5"/>
      <c r="F9" s="173"/>
      <c r="H9" s="12"/>
      <c r="I9" s="12"/>
      <c r="J9" s="12"/>
      <c r="K9" s="12"/>
      <c r="L9" s="12"/>
      <c r="M9" s="12"/>
    </row>
    <row r="10" spans="1:16" ht="15.9" customHeight="1" thickBot="1" x14ac:dyDescent="0.3">
      <c r="A10" s="151">
        <v>0.2</v>
      </c>
      <c r="B10" s="64">
        <v>90</v>
      </c>
      <c r="C10" s="16">
        <v>81</v>
      </c>
      <c r="D10" s="18">
        <v>77.400000000000006</v>
      </c>
      <c r="E10" s="5"/>
      <c r="F10" s="226" t="s">
        <v>5</v>
      </c>
      <c r="G10" s="227"/>
      <c r="H10" s="228"/>
      <c r="I10" s="12"/>
      <c r="J10" s="12"/>
      <c r="K10" s="12"/>
      <c r="L10" s="12"/>
      <c r="M10" s="12"/>
    </row>
    <row r="11" spans="1:16" ht="15.9" customHeight="1" thickBot="1" x14ac:dyDescent="0.3">
      <c r="A11" s="151">
        <v>0.4</v>
      </c>
      <c r="B11" s="64">
        <v>94.1</v>
      </c>
      <c r="C11" s="16">
        <v>85.2</v>
      </c>
      <c r="D11" s="18">
        <v>81.8</v>
      </c>
      <c r="E11" s="5"/>
      <c r="F11" s="25" t="s">
        <v>10</v>
      </c>
      <c r="G11" s="57" t="s">
        <v>17</v>
      </c>
      <c r="H11" s="58" t="s">
        <v>6</v>
      </c>
      <c r="I11" s="12"/>
      <c r="J11" s="12"/>
      <c r="K11" s="12"/>
      <c r="L11" s="12"/>
      <c r="M11" s="12"/>
    </row>
    <row r="12" spans="1:16" ht="15.9" customHeight="1" thickBot="1" x14ac:dyDescent="0.3">
      <c r="A12" s="151">
        <v>0.60000000000000009</v>
      </c>
      <c r="B12" s="64">
        <v>97.2</v>
      </c>
      <c r="C12" s="16">
        <v>89.6</v>
      </c>
      <c r="D12" s="18">
        <v>86.2</v>
      </c>
      <c r="E12" s="5"/>
      <c r="F12" s="154">
        <v>2</v>
      </c>
      <c r="G12" s="155">
        <v>3.5</v>
      </c>
      <c r="H12" s="112">
        <f>Interpolate2DTable(F12,G12,$A$8:$D$28)</f>
        <v>78.799999999999983</v>
      </c>
      <c r="I12" s="12"/>
      <c r="J12" s="12"/>
      <c r="K12" s="12"/>
      <c r="L12" s="12"/>
      <c r="M12" s="12"/>
    </row>
    <row r="13" spans="1:16" ht="15.9" customHeight="1" x14ac:dyDescent="0.25">
      <c r="A13" s="151">
        <v>0.8</v>
      </c>
      <c r="B13" s="64">
        <v>99</v>
      </c>
      <c r="C13" s="16">
        <v>93.8</v>
      </c>
      <c r="D13" s="18">
        <v>90.6</v>
      </c>
      <c r="E13" s="5"/>
      <c r="F13" s="12"/>
      <c r="G13" s="12"/>
      <c r="H13" s="12"/>
      <c r="I13" s="12"/>
      <c r="J13" s="12"/>
      <c r="K13" s="12"/>
      <c r="L13" s="12"/>
      <c r="M13" s="12"/>
    </row>
    <row r="14" spans="1:16" ht="24" customHeight="1" x14ac:dyDescent="0.25">
      <c r="A14" s="151">
        <v>1</v>
      </c>
      <c r="B14" s="64">
        <v>100</v>
      </c>
      <c r="C14" s="16">
        <v>97.5</v>
      </c>
      <c r="D14" s="18">
        <v>94.8</v>
      </c>
      <c r="I14" s="12"/>
      <c r="J14" s="12"/>
      <c r="K14" s="12"/>
      <c r="L14" s="12"/>
      <c r="M14" s="12"/>
    </row>
    <row r="15" spans="1:16" ht="15.9" customHeight="1" x14ac:dyDescent="0.25">
      <c r="A15" s="151">
        <v>1.2</v>
      </c>
      <c r="B15" s="64">
        <v>98.5</v>
      </c>
      <c r="C15" s="16">
        <v>99.6</v>
      </c>
      <c r="D15" s="18">
        <v>97.8</v>
      </c>
      <c r="E15" s="59"/>
      <c r="F15" s="59"/>
      <c r="G15" s="59"/>
      <c r="H15" s="59"/>
      <c r="I15" s="12"/>
      <c r="J15" s="12"/>
      <c r="K15" s="12"/>
      <c r="L15" s="12"/>
      <c r="M15" s="12"/>
    </row>
    <row r="16" spans="1:16" ht="15.9" customHeight="1" x14ac:dyDescent="0.25">
      <c r="A16" s="151">
        <v>1.3</v>
      </c>
      <c r="B16" s="64">
        <v>97</v>
      </c>
      <c r="C16" s="16">
        <v>100</v>
      </c>
      <c r="D16" s="18">
        <v>99.1</v>
      </c>
      <c r="E16" s="59"/>
      <c r="F16" s="59"/>
      <c r="G16" s="59"/>
      <c r="H16" s="59"/>
      <c r="I16" s="12"/>
      <c r="J16" s="12"/>
      <c r="K16" s="12"/>
      <c r="L16" s="12"/>
      <c r="M16" s="12"/>
    </row>
    <row r="17" spans="1:16" ht="15.9" customHeight="1" x14ac:dyDescent="0.25">
      <c r="A17" s="151">
        <v>1.4</v>
      </c>
      <c r="B17" s="62">
        <v>95</v>
      </c>
      <c r="C17" s="63">
        <v>99.5</v>
      </c>
      <c r="D17" s="65">
        <v>99.8</v>
      </c>
      <c r="E17" s="59"/>
      <c r="F17" s="59"/>
      <c r="G17" s="59"/>
      <c r="H17" s="59"/>
      <c r="I17" s="12"/>
      <c r="J17" s="12"/>
      <c r="K17" s="12"/>
      <c r="L17" s="12"/>
      <c r="M17" s="12"/>
    </row>
    <row r="18" spans="1:16" ht="15.9" customHeight="1" x14ac:dyDescent="0.25">
      <c r="A18" s="151">
        <v>1.5</v>
      </c>
      <c r="B18" s="62">
        <v>91.4</v>
      </c>
      <c r="C18" s="63">
        <v>97.9</v>
      </c>
      <c r="D18" s="65">
        <v>100</v>
      </c>
      <c r="E18" s="59"/>
      <c r="F18" s="59"/>
      <c r="G18" s="59"/>
      <c r="H18" s="59"/>
      <c r="I18" s="12"/>
      <c r="J18" s="12"/>
      <c r="K18" s="12"/>
      <c r="L18" s="12"/>
      <c r="M18" s="12"/>
    </row>
    <row r="19" spans="1:16" ht="15.9" customHeight="1" x14ac:dyDescent="0.25">
      <c r="A19" s="151">
        <v>1.5999999999999999</v>
      </c>
      <c r="B19" s="64">
        <v>86.5</v>
      </c>
      <c r="C19" s="16">
        <v>95</v>
      </c>
      <c r="D19" s="18">
        <v>98.6</v>
      </c>
      <c r="E19" s="59"/>
      <c r="F19" s="59"/>
      <c r="G19" s="59"/>
      <c r="H19" s="59"/>
      <c r="I19" s="12"/>
      <c r="J19" s="12"/>
      <c r="K19" s="12"/>
      <c r="L19" s="12"/>
      <c r="M19" s="12"/>
    </row>
    <row r="20" spans="1:16" ht="15.9" customHeight="1" x14ac:dyDescent="0.25">
      <c r="A20" s="151">
        <v>1.7999999999999998</v>
      </c>
      <c r="B20" s="64">
        <v>77</v>
      </c>
      <c r="C20" s="16">
        <v>87.2</v>
      </c>
      <c r="D20" s="18">
        <v>90.8</v>
      </c>
      <c r="E20" s="59"/>
      <c r="F20" s="59"/>
      <c r="G20" s="59"/>
      <c r="H20" s="59"/>
      <c r="I20" s="12"/>
      <c r="J20" s="12"/>
      <c r="K20" s="12"/>
      <c r="L20" s="12"/>
      <c r="M20" s="12"/>
    </row>
    <row r="21" spans="1:16" ht="24" customHeight="1" x14ac:dyDescent="0.25">
      <c r="A21" s="151">
        <v>1.9999999999999998</v>
      </c>
      <c r="B21" s="62">
        <v>66</v>
      </c>
      <c r="C21" s="63">
        <v>77</v>
      </c>
      <c r="D21" s="65">
        <v>80.599999999999994</v>
      </c>
      <c r="E21" s="59"/>
      <c r="F21" s="59"/>
      <c r="G21" s="59"/>
      <c r="H21" s="59"/>
      <c r="I21" s="12"/>
      <c r="J21" s="12"/>
      <c r="K21" s="12"/>
      <c r="L21" s="12"/>
      <c r="M21" s="12"/>
    </row>
    <row r="22" spans="1:16" ht="15.9" customHeight="1" x14ac:dyDescent="0.25">
      <c r="A22" s="151">
        <v>2.5</v>
      </c>
      <c r="B22" s="64">
        <v>36</v>
      </c>
      <c r="C22" s="16">
        <v>38.799999999999997</v>
      </c>
      <c r="D22" s="18">
        <v>41.8</v>
      </c>
      <c r="E22" s="59"/>
      <c r="F22" s="59"/>
      <c r="G22" s="59"/>
      <c r="H22" s="59"/>
      <c r="I22" s="12"/>
      <c r="J22" s="12"/>
      <c r="K22" s="12"/>
      <c r="L22" s="12"/>
      <c r="M22" s="12"/>
    </row>
    <row r="23" spans="1:16" ht="15.9" customHeight="1" x14ac:dyDescent="0.25">
      <c r="A23" s="151">
        <v>3</v>
      </c>
      <c r="B23" s="64">
        <v>6</v>
      </c>
      <c r="C23" s="16">
        <v>6.8</v>
      </c>
      <c r="D23" s="18">
        <v>7</v>
      </c>
      <c r="E23" s="59"/>
      <c r="F23" s="59"/>
      <c r="G23" s="59"/>
      <c r="H23" s="59"/>
      <c r="I23" s="12"/>
      <c r="J23" s="12"/>
      <c r="K23" s="12"/>
      <c r="L23" s="12"/>
      <c r="M23" s="12"/>
    </row>
    <row r="24" spans="1:16" ht="15.9" customHeight="1" x14ac:dyDescent="0.25">
      <c r="A24" s="151">
        <v>3.2000000000000006</v>
      </c>
      <c r="B24" s="64">
        <v>2.6</v>
      </c>
      <c r="C24" s="16">
        <v>2.7</v>
      </c>
      <c r="D24" s="18">
        <v>2.8</v>
      </c>
      <c r="E24" s="59"/>
      <c r="F24" s="59"/>
      <c r="G24" s="59"/>
      <c r="H24" s="59"/>
      <c r="I24" s="12"/>
      <c r="J24" s="12"/>
      <c r="K24" s="12"/>
      <c r="L24" s="12"/>
      <c r="M24" s="12"/>
    </row>
    <row r="25" spans="1:16" ht="15.9" customHeight="1" x14ac:dyDescent="0.25">
      <c r="A25" s="151">
        <v>3.4000000000000008</v>
      </c>
      <c r="B25" s="64">
        <v>1.5</v>
      </c>
      <c r="C25" s="16">
        <v>1.6</v>
      </c>
      <c r="D25" s="18">
        <v>1.7</v>
      </c>
      <c r="E25" s="59"/>
      <c r="F25" s="59"/>
      <c r="G25" s="59"/>
      <c r="H25" s="59"/>
      <c r="I25" s="12"/>
      <c r="J25" s="12"/>
      <c r="K25" s="12"/>
      <c r="L25" s="12"/>
      <c r="M25" s="12"/>
    </row>
    <row r="26" spans="1:16" ht="15.9" customHeight="1" x14ac:dyDescent="0.25">
      <c r="A26" s="151">
        <v>3.600000000000001</v>
      </c>
      <c r="B26" s="62">
        <v>1.2</v>
      </c>
      <c r="C26" s="63">
        <v>1.2</v>
      </c>
      <c r="D26" s="65">
        <v>1.2</v>
      </c>
      <c r="E26" s="59"/>
      <c r="F26" s="59"/>
      <c r="G26" s="59"/>
      <c r="H26" s="59"/>
      <c r="I26" s="12"/>
      <c r="J26" s="12"/>
      <c r="K26" s="12"/>
      <c r="L26" s="12"/>
      <c r="M26" s="12"/>
    </row>
    <row r="27" spans="1:16" ht="24" customHeight="1" x14ac:dyDescent="0.25">
      <c r="A27" s="151">
        <v>4.0000000000000009</v>
      </c>
      <c r="B27" s="62">
        <v>1</v>
      </c>
      <c r="C27" s="63">
        <v>1</v>
      </c>
      <c r="D27" s="65">
        <v>1</v>
      </c>
      <c r="E27" s="59"/>
      <c r="F27" s="59"/>
      <c r="G27" s="59"/>
      <c r="H27" s="59"/>
      <c r="I27" s="12"/>
      <c r="J27" s="12"/>
      <c r="K27" s="12"/>
      <c r="L27" s="12"/>
      <c r="M27" s="12"/>
      <c r="N27" s="12"/>
      <c r="O27" s="1"/>
      <c r="P27" s="1"/>
    </row>
    <row r="28" spans="1:16" ht="15.9" customHeight="1" thickBot="1" x14ac:dyDescent="0.3">
      <c r="A28" s="151">
        <v>5.0000000000000018</v>
      </c>
      <c r="B28" s="66">
        <v>0.91700000000000004</v>
      </c>
      <c r="C28" s="67">
        <v>0.91700000000000004</v>
      </c>
      <c r="D28" s="68">
        <v>0.91700000000000004</v>
      </c>
      <c r="E28" s="59"/>
      <c r="F28" s="59"/>
      <c r="G28" s="59"/>
      <c r="H28" s="59"/>
      <c r="I28" s="12"/>
      <c r="J28" s="12"/>
      <c r="K28" s="12"/>
      <c r="L28" s="12"/>
      <c r="M28" s="12"/>
      <c r="N28" s="12"/>
      <c r="O28" s="1"/>
      <c r="P28" s="1"/>
    </row>
    <row r="29" spans="1:16" ht="12.75" customHeight="1" thickTop="1" x14ac:dyDescent="0.25">
      <c r="A29" s="20"/>
      <c r="B29" s="21"/>
      <c r="C29" s="22"/>
      <c r="D29" s="2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ht="12.75" customHeight="1" x14ac:dyDescent="0.25"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ht="12.75" customHeight="1" x14ac:dyDescent="0.25"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ht="12.75" customHeight="1" x14ac:dyDescent="0.25"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5:16" ht="12.75" customHeight="1" x14ac:dyDescent="0.25"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5:16" ht="12.75" customHeight="1" x14ac:dyDescent="0.25"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5:16" ht="12.75" customHeight="1" x14ac:dyDescent="0.25"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5:16" ht="12.75" customHeight="1" x14ac:dyDescent="0.25"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5:16" ht="12.75" customHeight="1" x14ac:dyDescent="0.25"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5:16" ht="12.75" customHeight="1" x14ac:dyDescent="0.25"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5:16" ht="12.75" customHeight="1" x14ac:dyDescent="0.25"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5:16" ht="12.75" customHeight="1" x14ac:dyDescent="0.25"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5:16" ht="12.75" customHeight="1" x14ac:dyDescent="0.25"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5:16" ht="12.75" customHeight="1" x14ac:dyDescent="0.25"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5:16" ht="12.75" customHeight="1" x14ac:dyDescent="0.25"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5:16" ht="12.75" customHeight="1" x14ac:dyDescent="0.25"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5:16" ht="12.75" customHeight="1" x14ac:dyDescent="0.25"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5:16" ht="12.75" customHeight="1" x14ac:dyDescent="0.25"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5:16" ht="12.75" customHeight="1" x14ac:dyDescent="0.25"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5:16" ht="12.75" customHeight="1" x14ac:dyDescent="0.25"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5:16" ht="12.75" customHeight="1" x14ac:dyDescent="0.25"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5:16" ht="12.75" customHeight="1" x14ac:dyDescent="0.25"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5:16" ht="12.75" customHeight="1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5:16" ht="12.75" customHeight="1" x14ac:dyDescent="0.25"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5:16" ht="12.75" customHeight="1" x14ac:dyDescent="0.25"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5:16" ht="12.75" customHeight="1" x14ac:dyDescent="0.25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5:16" ht="12.75" customHeight="1" x14ac:dyDescent="0.25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5:16" ht="12.75" customHeight="1" x14ac:dyDescent="0.25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5:16" ht="12.75" customHeight="1" x14ac:dyDescent="0.25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5:16" ht="12.75" customHeight="1" x14ac:dyDescent="0.25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5:16" ht="12.75" customHeight="1" x14ac:dyDescent="0.25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5:16" ht="12.75" customHeight="1" x14ac:dyDescent="0.25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5:16" ht="12.75" customHeight="1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5:16" ht="12.75" customHeight="1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5:16" ht="12.75" customHeight="1" x14ac:dyDescent="0.25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5:16" ht="12.75" customHeight="1" x14ac:dyDescent="0.25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5:16" ht="12.75" customHeight="1" x14ac:dyDescent="0.25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5:16" ht="12.75" customHeight="1" x14ac:dyDescent="0.25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5:16" ht="12.75" customHeight="1" x14ac:dyDescent="0.25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5:16" ht="12.75" customHeight="1" x14ac:dyDescent="0.25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5:16" ht="12.75" customHeight="1" x14ac:dyDescent="0.25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5:16" ht="12.75" customHeight="1" x14ac:dyDescent="0.25"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5:16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5:16" x14ac:dyDescent="0.25"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5:16" x14ac:dyDescent="0.25"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5:16" x14ac:dyDescent="0.25"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5:16" x14ac:dyDescent="0.25"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5:16" x14ac:dyDescent="0.25"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5:16" x14ac:dyDescent="0.25"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5:16" x14ac:dyDescent="0.25"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5:16" x14ac:dyDescent="0.25"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5:16" x14ac:dyDescent="0.25"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5:16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5:16" x14ac:dyDescent="0.25"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5:16" x14ac:dyDescent="0.25"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5:16" x14ac:dyDescent="0.25"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5:16" x14ac:dyDescent="0.25"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5:16" x14ac:dyDescent="0.25"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5:16" x14ac:dyDescent="0.25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5:16" x14ac:dyDescent="0.25"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5:16" x14ac:dyDescent="0.25"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</sheetData>
  <mergeCells count="5">
    <mergeCell ref="A1:D1"/>
    <mergeCell ref="A2:D2"/>
    <mergeCell ref="A3:D3"/>
    <mergeCell ref="F8:F9"/>
    <mergeCell ref="F10:H10"/>
  </mergeCells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&amp;"Arial,Bold"&amp;11Dosimetric Data Tables</oddHeader>
    <oddFooter>&amp;C- &amp;P -&amp;RIS Jan06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O42"/>
  <sheetViews>
    <sheetView showGridLines="0" workbookViewId="0">
      <selection activeCell="E10" sqref="E10:G10"/>
    </sheetView>
  </sheetViews>
  <sheetFormatPr defaultRowHeight="13.2" x14ac:dyDescent="0.25"/>
  <cols>
    <col min="1" max="1" width="9.88671875" customWidth="1"/>
    <col min="2" max="3" width="12.6640625" customWidth="1"/>
    <col min="4" max="4" width="9.6640625" customWidth="1"/>
  </cols>
  <sheetData>
    <row r="1" spans="1:15" ht="28.8" customHeight="1" x14ac:dyDescent="0.35">
      <c r="A1" s="214" t="s">
        <v>34</v>
      </c>
      <c r="B1" s="215"/>
      <c r="C1" s="215"/>
      <c r="D1" s="217"/>
    </row>
    <row r="2" spans="1:15" ht="25.8" customHeight="1" x14ac:dyDescent="0.3">
      <c r="A2" s="218" t="s">
        <v>9</v>
      </c>
      <c r="B2" s="219"/>
      <c r="C2" s="219"/>
      <c r="D2" s="220"/>
      <c r="E2" s="7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ht="17.25" customHeight="1" x14ac:dyDescent="0.3">
      <c r="A3" s="171" t="s">
        <v>61</v>
      </c>
      <c r="B3" s="219"/>
      <c r="C3" s="219"/>
      <c r="D3" s="220"/>
      <c r="E3" s="7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ht="17.25" customHeight="1" x14ac:dyDescent="0.25">
      <c r="A4" s="118"/>
      <c r="B4" s="119"/>
      <c r="C4" s="119"/>
      <c r="D4" s="119"/>
      <c r="E4" s="7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ht="22.05" customHeight="1" thickBot="1" x14ac:dyDescent="0.3">
      <c r="A5" s="4"/>
      <c r="B5" s="167" t="s">
        <v>62</v>
      </c>
      <c r="C5" s="223">
        <v>4.5</v>
      </c>
      <c r="D5" s="138"/>
      <c r="E5" s="7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ht="30" customHeight="1" thickTop="1" thickBot="1" x14ac:dyDescent="0.3">
      <c r="A6" s="8" t="s">
        <v>16</v>
      </c>
      <c r="B6" s="15">
        <v>3.5</v>
      </c>
      <c r="C6" s="15" t="s">
        <v>56</v>
      </c>
      <c r="D6" s="147"/>
      <c r="E6" s="9"/>
      <c r="F6" s="9"/>
      <c r="G6" s="9"/>
      <c r="H6" s="9"/>
      <c r="I6" s="9"/>
      <c r="J6" s="9"/>
      <c r="K6" s="9"/>
    </row>
    <row r="7" spans="1:15" ht="21.75" customHeight="1" thickTop="1" thickBot="1" x14ac:dyDescent="0.3">
      <c r="A7" s="149" t="s">
        <v>52</v>
      </c>
      <c r="B7" s="141">
        <v>2.2000000000000002</v>
      </c>
      <c r="C7" s="142">
        <v>2.2999999999999998</v>
      </c>
      <c r="D7" s="148"/>
      <c r="E7" s="139" t="s">
        <v>4</v>
      </c>
      <c r="F7" s="120"/>
      <c r="G7" s="121"/>
      <c r="H7" s="9"/>
      <c r="I7" s="9"/>
      <c r="J7" s="9"/>
      <c r="K7" s="9"/>
    </row>
    <row r="8" spans="1:15" ht="17.25" customHeight="1" x14ac:dyDescent="0.25">
      <c r="A8" s="150" t="s">
        <v>53</v>
      </c>
      <c r="B8" s="143">
        <v>3.5</v>
      </c>
      <c r="C8" s="144">
        <v>5</v>
      </c>
      <c r="D8" s="140"/>
      <c r="E8" s="172"/>
      <c r="G8" s="11"/>
      <c r="H8" s="11"/>
      <c r="I8" s="11"/>
      <c r="J8" s="11"/>
      <c r="K8" s="11"/>
    </row>
    <row r="9" spans="1:15" ht="18" customHeight="1" thickBot="1" x14ac:dyDescent="0.3">
      <c r="A9" s="151">
        <v>0</v>
      </c>
      <c r="B9" s="64">
        <v>80</v>
      </c>
      <c r="C9" s="145">
        <v>78</v>
      </c>
      <c r="D9" s="123"/>
      <c r="E9" s="173"/>
      <c r="G9" s="12"/>
      <c r="H9" s="12"/>
      <c r="I9" s="12"/>
      <c r="J9" s="12"/>
      <c r="K9" s="12"/>
      <c r="L9" s="12"/>
    </row>
    <row r="10" spans="1:15" ht="18" customHeight="1" thickBot="1" x14ac:dyDescent="0.3">
      <c r="A10" s="151">
        <v>0.2</v>
      </c>
      <c r="B10" s="64">
        <v>82.5</v>
      </c>
      <c r="C10" s="145">
        <v>80.400000000000006</v>
      </c>
      <c r="D10" s="123"/>
      <c r="E10" s="226" t="s">
        <v>5</v>
      </c>
      <c r="F10" s="227"/>
      <c r="G10" s="228"/>
      <c r="H10" s="12"/>
      <c r="I10" s="12"/>
      <c r="J10" s="12"/>
      <c r="K10" s="12"/>
      <c r="L10" s="12"/>
    </row>
    <row r="11" spans="1:15" ht="18" customHeight="1" thickBot="1" x14ac:dyDescent="0.3">
      <c r="A11" s="151">
        <v>0.4</v>
      </c>
      <c r="B11" s="64">
        <v>85.2</v>
      </c>
      <c r="C11" s="145">
        <v>82.8</v>
      </c>
      <c r="D11" s="123"/>
      <c r="E11" s="25" t="s">
        <v>10</v>
      </c>
      <c r="F11" s="57" t="s">
        <v>17</v>
      </c>
      <c r="G11" s="58" t="s">
        <v>6</v>
      </c>
      <c r="H11" s="12"/>
      <c r="I11" s="12"/>
      <c r="J11" s="12"/>
      <c r="K11" s="12"/>
      <c r="L11" s="12"/>
    </row>
    <row r="12" spans="1:15" ht="18" customHeight="1" thickBot="1" x14ac:dyDescent="0.3">
      <c r="A12" s="151">
        <v>0.60000000000000009</v>
      </c>
      <c r="B12" s="64">
        <v>87.6</v>
      </c>
      <c r="C12" s="145">
        <v>85.2</v>
      </c>
      <c r="D12" s="123"/>
      <c r="E12" s="154">
        <v>1.25</v>
      </c>
      <c r="F12" s="155">
        <v>6</v>
      </c>
      <c r="G12" s="112">
        <f>Interpolate2DTable(E12,F12,$A$8:$C$37)</f>
        <v>92.5</v>
      </c>
      <c r="H12" s="12"/>
      <c r="I12" s="12"/>
      <c r="J12" s="12"/>
      <c r="K12" s="12"/>
      <c r="L12" s="12"/>
    </row>
    <row r="13" spans="1:15" ht="18" customHeight="1" x14ac:dyDescent="0.25">
      <c r="A13" s="151">
        <v>0.8</v>
      </c>
      <c r="B13" s="64">
        <v>90</v>
      </c>
      <c r="C13" s="145">
        <v>87.6</v>
      </c>
      <c r="D13" s="123"/>
      <c r="E13" s="12"/>
      <c r="F13" s="12"/>
      <c r="G13" s="12"/>
      <c r="H13" s="12"/>
      <c r="I13" s="12"/>
      <c r="J13" s="12"/>
      <c r="K13" s="12"/>
      <c r="L13" s="12"/>
    </row>
    <row r="14" spans="1:15" ht="24" customHeight="1" x14ac:dyDescent="0.25">
      <c r="A14" s="151">
        <v>1</v>
      </c>
      <c r="B14" s="64">
        <v>91.8</v>
      </c>
      <c r="C14" s="145">
        <v>90</v>
      </c>
      <c r="D14" s="123"/>
      <c r="H14" s="12"/>
      <c r="I14" s="12"/>
      <c r="J14" s="12"/>
      <c r="K14" s="12"/>
      <c r="L14" s="12"/>
    </row>
    <row r="15" spans="1:15" ht="18" customHeight="1" x14ac:dyDescent="0.25">
      <c r="A15" s="151">
        <v>1.2</v>
      </c>
      <c r="B15" s="64">
        <v>93.7</v>
      </c>
      <c r="C15" s="145">
        <v>92</v>
      </c>
      <c r="D15" s="123"/>
      <c r="E15" s="59"/>
      <c r="F15" s="59"/>
      <c r="G15" s="59"/>
      <c r="H15" s="12"/>
      <c r="I15" s="12"/>
      <c r="J15" s="12"/>
      <c r="K15" s="12"/>
      <c r="L15" s="12"/>
    </row>
    <row r="16" spans="1:15" ht="18" customHeight="1" x14ac:dyDescent="0.25">
      <c r="A16" s="151">
        <v>1.4</v>
      </c>
      <c r="B16" s="64">
        <v>95.4</v>
      </c>
      <c r="C16" s="145">
        <v>94</v>
      </c>
      <c r="D16" s="123"/>
      <c r="E16" s="59"/>
      <c r="F16" s="59"/>
      <c r="G16" s="59"/>
      <c r="H16" s="12"/>
      <c r="I16" s="12"/>
      <c r="J16" s="12"/>
      <c r="K16" s="12"/>
      <c r="L16" s="12"/>
    </row>
    <row r="17" spans="1:15" ht="18" customHeight="1" x14ac:dyDescent="0.25">
      <c r="A17" s="151">
        <v>1.5999999999999999</v>
      </c>
      <c r="B17" s="64">
        <v>97.1</v>
      </c>
      <c r="C17" s="145">
        <v>96</v>
      </c>
      <c r="D17" s="123"/>
      <c r="E17" s="59"/>
      <c r="F17" s="59"/>
      <c r="G17" s="59"/>
      <c r="H17" s="12"/>
      <c r="I17" s="12"/>
      <c r="J17" s="12"/>
      <c r="K17" s="12"/>
      <c r="L17" s="12"/>
    </row>
    <row r="18" spans="1:15" ht="18" customHeight="1" x14ac:dyDescent="0.25">
      <c r="A18" s="151">
        <v>1.7999999999999998</v>
      </c>
      <c r="B18" s="64">
        <v>98.5</v>
      </c>
      <c r="C18" s="145">
        <v>97.7</v>
      </c>
      <c r="D18" s="123"/>
      <c r="E18" s="59"/>
      <c r="F18" s="59"/>
      <c r="G18" s="59"/>
      <c r="H18" s="12"/>
      <c r="I18" s="12"/>
      <c r="J18" s="12"/>
      <c r="K18" s="12"/>
      <c r="L18" s="12"/>
    </row>
    <row r="19" spans="1:15" ht="24" customHeight="1" x14ac:dyDescent="0.25">
      <c r="A19" s="151">
        <v>1.9999999999999998</v>
      </c>
      <c r="B19" s="64">
        <v>99.4</v>
      </c>
      <c r="C19" s="145">
        <v>99</v>
      </c>
      <c r="D19" s="123"/>
      <c r="E19" s="59"/>
      <c r="F19" s="59"/>
      <c r="G19" s="59"/>
      <c r="H19" s="12"/>
      <c r="I19" s="12"/>
      <c r="J19" s="12"/>
      <c r="K19" s="12"/>
      <c r="L19" s="12"/>
    </row>
    <row r="20" spans="1:15" ht="18" customHeight="1" x14ac:dyDescent="0.25">
      <c r="A20" s="151">
        <v>2.1999999999999997</v>
      </c>
      <c r="B20" s="64">
        <v>100</v>
      </c>
      <c r="C20" s="145">
        <v>99.9</v>
      </c>
      <c r="D20" s="123"/>
      <c r="E20" s="59"/>
      <c r="F20" s="59"/>
      <c r="G20" s="59"/>
      <c r="H20" s="12"/>
      <c r="I20" s="12"/>
      <c r="J20" s="12"/>
      <c r="K20" s="12"/>
      <c r="L20" s="12"/>
    </row>
    <row r="21" spans="1:15" ht="18" customHeight="1" x14ac:dyDescent="0.25">
      <c r="A21" s="151">
        <v>2.2999999999999998</v>
      </c>
      <c r="B21" s="64">
        <v>99.7</v>
      </c>
      <c r="C21" s="145">
        <v>100</v>
      </c>
      <c r="D21" s="123"/>
      <c r="E21" s="59"/>
      <c r="F21" s="59"/>
      <c r="G21" s="59"/>
      <c r="H21" s="12"/>
      <c r="I21" s="12"/>
      <c r="J21" s="12"/>
      <c r="K21" s="12"/>
      <c r="L21" s="12"/>
    </row>
    <row r="22" spans="1:15" ht="18" customHeight="1" x14ac:dyDescent="0.25">
      <c r="A22" s="151">
        <v>2.4</v>
      </c>
      <c r="B22" s="64">
        <v>99</v>
      </c>
      <c r="C22" s="145">
        <v>99.4</v>
      </c>
      <c r="D22" s="123"/>
      <c r="E22" s="59"/>
      <c r="F22" s="59"/>
      <c r="G22" s="59"/>
      <c r="H22" s="12"/>
      <c r="I22" s="12"/>
      <c r="J22" s="12"/>
      <c r="K22" s="12"/>
      <c r="L22" s="12"/>
    </row>
    <row r="23" spans="1:15" ht="18" customHeight="1" x14ac:dyDescent="0.25">
      <c r="A23" s="151">
        <v>2.6</v>
      </c>
      <c r="B23" s="64">
        <v>95.7</v>
      </c>
      <c r="C23" s="145">
        <v>96</v>
      </c>
      <c r="D23" s="123"/>
      <c r="E23" s="59"/>
      <c r="F23" s="59"/>
      <c r="G23" s="59"/>
      <c r="H23" s="12"/>
      <c r="I23" s="12"/>
      <c r="J23" s="12"/>
      <c r="K23" s="12"/>
      <c r="L23" s="12"/>
    </row>
    <row r="24" spans="1:15" ht="18" customHeight="1" x14ac:dyDescent="0.25">
      <c r="A24" s="151">
        <v>2.8000000000000003</v>
      </c>
      <c r="B24" s="64">
        <v>90</v>
      </c>
      <c r="C24" s="145">
        <v>91.7</v>
      </c>
      <c r="D24" s="123"/>
      <c r="E24" s="59"/>
      <c r="F24" s="59"/>
      <c r="G24" s="59"/>
      <c r="H24" s="12"/>
      <c r="I24" s="12"/>
      <c r="J24" s="12"/>
      <c r="K24" s="12"/>
      <c r="L24" s="12"/>
    </row>
    <row r="25" spans="1:15" ht="24" customHeight="1" x14ac:dyDescent="0.25">
      <c r="A25" s="151">
        <v>3.0000000000000004</v>
      </c>
      <c r="B25" s="64">
        <v>79.7</v>
      </c>
      <c r="C25" s="145">
        <v>84.4</v>
      </c>
      <c r="D25" s="123"/>
      <c r="E25" s="59"/>
      <c r="F25" s="59"/>
      <c r="G25" s="59"/>
      <c r="H25" s="12"/>
      <c r="I25" s="12"/>
      <c r="J25" s="12"/>
      <c r="K25" s="12"/>
      <c r="L25" s="12"/>
    </row>
    <row r="26" spans="1:15" ht="18" customHeight="1" x14ac:dyDescent="0.25">
      <c r="A26" s="151">
        <v>3.2000000000000006</v>
      </c>
      <c r="B26" s="64">
        <v>68.8</v>
      </c>
      <c r="C26" s="145">
        <v>73.099999999999994</v>
      </c>
      <c r="D26" s="123"/>
      <c r="E26" s="59"/>
      <c r="F26" s="59"/>
      <c r="G26" s="59"/>
      <c r="H26" s="12"/>
      <c r="I26" s="12"/>
      <c r="J26" s="12"/>
      <c r="K26" s="12"/>
      <c r="L26" s="12"/>
    </row>
    <row r="27" spans="1:15" ht="18" customHeight="1" x14ac:dyDescent="0.25">
      <c r="A27" s="151">
        <v>3.4000000000000008</v>
      </c>
      <c r="B27" s="64">
        <v>58</v>
      </c>
      <c r="C27" s="145">
        <v>61.8</v>
      </c>
      <c r="D27" s="123"/>
      <c r="E27" s="59"/>
      <c r="F27" s="59"/>
      <c r="G27" s="59"/>
      <c r="H27" s="12"/>
      <c r="I27" s="12"/>
      <c r="J27" s="12"/>
      <c r="K27" s="12"/>
      <c r="L27" s="12"/>
    </row>
    <row r="28" spans="1:15" ht="18" customHeight="1" x14ac:dyDescent="0.25">
      <c r="A28" s="151">
        <v>3.600000000000001</v>
      </c>
      <c r="B28" s="64">
        <v>47.2</v>
      </c>
      <c r="C28" s="145">
        <v>50.5</v>
      </c>
      <c r="D28" s="123"/>
      <c r="E28" s="59"/>
      <c r="F28" s="59"/>
      <c r="G28" s="59"/>
      <c r="H28" s="12"/>
      <c r="I28" s="12"/>
      <c r="J28" s="12"/>
      <c r="K28" s="12"/>
      <c r="L28" s="12"/>
      <c r="M28" s="12"/>
      <c r="N28" s="1"/>
      <c r="O28" s="1"/>
    </row>
    <row r="29" spans="1:15" ht="18" customHeight="1" x14ac:dyDescent="0.25">
      <c r="A29" s="151">
        <v>3.8000000000000012</v>
      </c>
      <c r="B29" s="64">
        <v>36</v>
      </c>
      <c r="C29" s="145">
        <v>39.299999999999997</v>
      </c>
      <c r="D29" s="123"/>
      <c r="E29" s="59"/>
      <c r="F29" s="59"/>
      <c r="G29" s="59"/>
      <c r="H29" s="12"/>
      <c r="I29" s="12"/>
      <c r="J29" s="12"/>
      <c r="K29" s="12"/>
      <c r="L29" s="12"/>
      <c r="M29" s="12"/>
      <c r="N29" s="1"/>
      <c r="O29" s="1"/>
    </row>
    <row r="30" spans="1:15" ht="24" customHeight="1" x14ac:dyDescent="0.25">
      <c r="A30" s="151">
        <v>4.0000000000000009</v>
      </c>
      <c r="B30" s="64">
        <v>25.5</v>
      </c>
      <c r="C30" s="145">
        <v>28</v>
      </c>
      <c r="D30" s="123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5" ht="18" customHeight="1" x14ac:dyDescent="0.25">
      <c r="A31" s="151">
        <v>4.2000000000000011</v>
      </c>
      <c r="B31" s="64">
        <v>16.600000000000001</v>
      </c>
      <c r="C31" s="145">
        <v>19</v>
      </c>
      <c r="D31" s="123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1:15" ht="18" customHeight="1" x14ac:dyDescent="0.25">
      <c r="A32" s="151">
        <v>4.4000000000000012</v>
      </c>
      <c r="B32" s="64">
        <v>8.6999999999999993</v>
      </c>
      <c r="C32" s="145">
        <v>10</v>
      </c>
      <c r="D32" s="12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1:15" ht="18" customHeight="1" x14ac:dyDescent="0.25">
      <c r="A33" s="151">
        <v>4.6000000000000014</v>
      </c>
      <c r="B33" s="64">
        <v>5</v>
      </c>
      <c r="C33" s="145">
        <v>5</v>
      </c>
      <c r="D33" s="12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1:15" ht="18" customHeight="1" x14ac:dyDescent="0.25">
      <c r="A34" s="151">
        <v>4.8000000000000016</v>
      </c>
      <c r="B34" s="64">
        <v>3</v>
      </c>
      <c r="C34" s="145">
        <v>3</v>
      </c>
      <c r="D34" s="12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ht="24" customHeight="1" x14ac:dyDescent="0.25">
      <c r="A35" s="151">
        <v>5.0000000000000018</v>
      </c>
      <c r="B35" s="64">
        <v>2</v>
      </c>
      <c r="C35" s="145">
        <v>2</v>
      </c>
      <c r="D35" s="12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1:15" ht="18" customHeight="1" x14ac:dyDescent="0.25">
      <c r="A36" s="151">
        <v>6.0000000000000027</v>
      </c>
      <c r="B36" s="64">
        <v>1.7</v>
      </c>
      <c r="C36" s="145">
        <v>1.9</v>
      </c>
      <c r="D36" s="12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1:15" ht="18" customHeight="1" thickBot="1" x14ac:dyDescent="0.3">
      <c r="A37" s="152">
        <v>7.0000000000000036</v>
      </c>
      <c r="B37" s="66">
        <v>1.5</v>
      </c>
      <c r="C37" s="146">
        <v>1.7</v>
      </c>
      <c r="D37" s="12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1:15" ht="13.8" thickTop="1" x14ac:dyDescent="0.25"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1:15" x14ac:dyDescent="0.25"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1:15" x14ac:dyDescent="0.25"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1:15" x14ac:dyDescent="0.25"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1:15" x14ac:dyDescent="0.25"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</row>
  </sheetData>
  <mergeCells count="5">
    <mergeCell ref="A1:C1"/>
    <mergeCell ref="A2:C2"/>
    <mergeCell ref="A3:C3"/>
    <mergeCell ref="E8:E9"/>
    <mergeCell ref="E10:G10"/>
  </mergeCells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&amp;"Arial,Bold"&amp;11Dosimetric Data Tables</oddHeader>
    <oddFooter>&amp;C- &amp;P -&amp;RIS Jan06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84123-A4E9-44CD-8903-E90DED580375}">
  <sheetPr codeName="Sheet17"/>
  <dimension ref="A1:X145"/>
  <sheetViews>
    <sheetView showGridLines="0" zoomScaleNormal="100" workbookViewId="0">
      <selection activeCell="O7" sqref="O7"/>
    </sheetView>
  </sheetViews>
  <sheetFormatPr defaultRowHeight="13.2" x14ac:dyDescent="0.25"/>
  <cols>
    <col min="1" max="1" width="13.44140625" customWidth="1"/>
    <col min="2" max="4" width="9.6640625" customWidth="1"/>
    <col min="13" max="13" width="11.5546875" bestFit="1" customWidth="1"/>
    <col min="16" max="16" width="10.5546875" bestFit="1" customWidth="1"/>
    <col min="257" max="257" width="9.88671875" customWidth="1"/>
    <col min="258" max="260" width="9.6640625" customWidth="1"/>
    <col min="269" max="269" width="11.5546875" bestFit="1" customWidth="1"/>
    <col min="272" max="272" width="10.5546875" bestFit="1" customWidth="1"/>
    <col min="513" max="513" width="9.88671875" customWidth="1"/>
    <col min="514" max="516" width="9.6640625" customWidth="1"/>
    <col min="525" max="525" width="11.5546875" bestFit="1" customWidth="1"/>
    <col min="528" max="528" width="10.5546875" bestFit="1" customWidth="1"/>
    <col min="769" max="769" width="9.88671875" customWidth="1"/>
    <col min="770" max="772" width="9.6640625" customWidth="1"/>
    <col min="781" max="781" width="11.5546875" bestFit="1" customWidth="1"/>
    <col min="784" max="784" width="10.5546875" bestFit="1" customWidth="1"/>
    <col min="1025" max="1025" width="9.88671875" customWidth="1"/>
    <col min="1026" max="1028" width="9.6640625" customWidth="1"/>
    <col min="1037" max="1037" width="11.5546875" bestFit="1" customWidth="1"/>
    <col min="1040" max="1040" width="10.5546875" bestFit="1" customWidth="1"/>
    <col min="1281" max="1281" width="9.88671875" customWidth="1"/>
    <col min="1282" max="1284" width="9.6640625" customWidth="1"/>
    <col min="1293" max="1293" width="11.5546875" bestFit="1" customWidth="1"/>
    <col min="1296" max="1296" width="10.5546875" bestFit="1" customWidth="1"/>
    <col min="1537" max="1537" width="9.88671875" customWidth="1"/>
    <col min="1538" max="1540" width="9.6640625" customWidth="1"/>
    <col min="1549" max="1549" width="11.5546875" bestFit="1" customWidth="1"/>
    <col min="1552" max="1552" width="10.5546875" bestFit="1" customWidth="1"/>
    <col min="1793" max="1793" width="9.88671875" customWidth="1"/>
    <col min="1794" max="1796" width="9.6640625" customWidth="1"/>
    <col min="1805" max="1805" width="11.5546875" bestFit="1" customWidth="1"/>
    <col min="1808" max="1808" width="10.5546875" bestFit="1" customWidth="1"/>
    <col min="2049" max="2049" width="9.88671875" customWidth="1"/>
    <col min="2050" max="2052" width="9.6640625" customWidth="1"/>
    <col min="2061" max="2061" width="11.5546875" bestFit="1" customWidth="1"/>
    <col min="2064" max="2064" width="10.5546875" bestFit="1" customWidth="1"/>
    <col min="2305" max="2305" width="9.88671875" customWidth="1"/>
    <col min="2306" max="2308" width="9.6640625" customWidth="1"/>
    <col min="2317" max="2317" width="11.5546875" bestFit="1" customWidth="1"/>
    <col min="2320" max="2320" width="10.5546875" bestFit="1" customWidth="1"/>
    <col min="2561" max="2561" width="9.88671875" customWidth="1"/>
    <col min="2562" max="2564" width="9.6640625" customWidth="1"/>
    <col min="2573" max="2573" width="11.5546875" bestFit="1" customWidth="1"/>
    <col min="2576" max="2576" width="10.5546875" bestFit="1" customWidth="1"/>
    <col min="2817" max="2817" width="9.88671875" customWidth="1"/>
    <col min="2818" max="2820" width="9.6640625" customWidth="1"/>
    <col min="2829" max="2829" width="11.5546875" bestFit="1" customWidth="1"/>
    <col min="2832" max="2832" width="10.5546875" bestFit="1" customWidth="1"/>
    <col min="3073" max="3073" width="9.88671875" customWidth="1"/>
    <col min="3074" max="3076" width="9.6640625" customWidth="1"/>
    <col min="3085" max="3085" width="11.5546875" bestFit="1" customWidth="1"/>
    <col min="3088" max="3088" width="10.5546875" bestFit="1" customWidth="1"/>
    <col min="3329" max="3329" width="9.88671875" customWidth="1"/>
    <col min="3330" max="3332" width="9.6640625" customWidth="1"/>
    <col min="3341" max="3341" width="11.5546875" bestFit="1" customWidth="1"/>
    <col min="3344" max="3344" width="10.5546875" bestFit="1" customWidth="1"/>
    <col min="3585" max="3585" width="9.88671875" customWidth="1"/>
    <col min="3586" max="3588" width="9.6640625" customWidth="1"/>
    <col min="3597" max="3597" width="11.5546875" bestFit="1" customWidth="1"/>
    <col min="3600" max="3600" width="10.5546875" bestFit="1" customWidth="1"/>
    <col min="3841" max="3841" width="9.88671875" customWidth="1"/>
    <col min="3842" max="3844" width="9.6640625" customWidth="1"/>
    <col min="3853" max="3853" width="11.5546875" bestFit="1" customWidth="1"/>
    <col min="3856" max="3856" width="10.5546875" bestFit="1" customWidth="1"/>
    <col min="4097" max="4097" width="9.88671875" customWidth="1"/>
    <col min="4098" max="4100" width="9.6640625" customWidth="1"/>
    <col min="4109" max="4109" width="11.5546875" bestFit="1" customWidth="1"/>
    <col min="4112" max="4112" width="10.5546875" bestFit="1" customWidth="1"/>
    <col min="4353" max="4353" width="9.88671875" customWidth="1"/>
    <col min="4354" max="4356" width="9.6640625" customWidth="1"/>
    <col min="4365" max="4365" width="11.5546875" bestFit="1" customWidth="1"/>
    <col min="4368" max="4368" width="10.5546875" bestFit="1" customWidth="1"/>
    <col min="4609" max="4609" width="9.88671875" customWidth="1"/>
    <col min="4610" max="4612" width="9.6640625" customWidth="1"/>
    <col min="4621" max="4621" width="11.5546875" bestFit="1" customWidth="1"/>
    <col min="4624" max="4624" width="10.5546875" bestFit="1" customWidth="1"/>
    <col min="4865" max="4865" width="9.88671875" customWidth="1"/>
    <col min="4866" max="4868" width="9.6640625" customWidth="1"/>
    <col min="4877" max="4877" width="11.5546875" bestFit="1" customWidth="1"/>
    <col min="4880" max="4880" width="10.5546875" bestFit="1" customWidth="1"/>
    <col min="5121" max="5121" width="9.88671875" customWidth="1"/>
    <col min="5122" max="5124" width="9.6640625" customWidth="1"/>
    <col min="5133" max="5133" width="11.5546875" bestFit="1" customWidth="1"/>
    <col min="5136" max="5136" width="10.5546875" bestFit="1" customWidth="1"/>
    <col min="5377" max="5377" width="9.88671875" customWidth="1"/>
    <col min="5378" max="5380" width="9.6640625" customWidth="1"/>
    <col min="5389" max="5389" width="11.5546875" bestFit="1" customWidth="1"/>
    <col min="5392" max="5392" width="10.5546875" bestFit="1" customWidth="1"/>
    <col min="5633" max="5633" width="9.88671875" customWidth="1"/>
    <col min="5634" max="5636" width="9.6640625" customWidth="1"/>
    <col min="5645" max="5645" width="11.5546875" bestFit="1" customWidth="1"/>
    <col min="5648" max="5648" width="10.5546875" bestFit="1" customWidth="1"/>
    <col min="5889" max="5889" width="9.88671875" customWidth="1"/>
    <col min="5890" max="5892" width="9.6640625" customWidth="1"/>
    <col min="5901" max="5901" width="11.5546875" bestFit="1" customWidth="1"/>
    <col min="5904" max="5904" width="10.5546875" bestFit="1" customWidth="1"/>
    <col min="6145" max="6145" width="9.88671875" customWidth="1"/>
    <col min="6146" max="6148" width="9.6640625" customWidth="1"/>
    <col min="6157" max="6157" width="11.5546875" bestFit="1" customWidth="1"/>
    <col min="6160" max="6160" width="10.5546875" bestFit="1" customWidth="1"/>
    <col min="6401" max="6401" width="9.88671875" customWidth="1"/>
    <col min="6402" max="6404" width="9.6640625" customWidth="1"/>
    <col min="6413" max="6413" width="11.5546875" bestFit="1" customWidth="1"/>
    <col min="6416" max="6416" width="10.5546875" bestFit="1" customWidth="1"/>
    <col min="6657" max="6657" width="9.88671875" customWidth="1"/>
    <col min="6658" max="6660" width="9.6640625" customWidth="1"/>
    <col min="6669" max="6669" width="11.5546875" bestFit="1" customWidth="1"/>
    <col min="6672" max="6672" width="10.5546875" bestFit="1" customWidth="1"/>
    <col min="6913" max="6913" width="9.88671875" customWidth="1"/>
    <col min="6914" max="6916" width="9.6640625" customWidth="1"/>
    <col min="6925" max="6925" width="11.5546875" bestFit="1" customWidth="1"/>
    <col min="6928" max="6928" width="10.5546875" bestFit="1" customWidth="1"/>
    <col min="7169" max="7169" width="9.88671875" customWidth="1"/>
    <col min="7170" max="7172" width="9.6640625" customWidth="1"/>
    <col min="7181" max="7181" width="11.5546875" bestFit="1" customWidth="1"/>
    <col min="7184" max="7184" width="10.5546875" bestFit="1" customWidth="1"/>
    <col min="7425" max="7425" width="9.88671875" customWidth="1"/>
    <col min="7426" max="7428" width="9.6640625" customWidth="1"/>
    <col min="7437" max="7437" width="11.5546875" bestFit="1" customWidth="1"/>
    <col min="7440" max="7440" width="10.5546875" bestFit="1" customWidth="1"/>
    <col min="7681" max="7681" width="9.88671875" customWidth="1"/>
    <col min="7682" max="7684" width="9.6640625" customWidth="1"/>
    <col min="7693" max="7693" width="11.5546875" bestFit="1" customWidth="1"/>
    <col min="7696" max="7696" width="10.5546875" bestFit="1" customWidth="1"/>
    <col min="7937" max="7937" width="9.88671875" customWidth="1"/>
    <col min="7938" max="7940" width="9.6640625" customWidth="1"/>
    <col min="7949" max="7949" width="11.5546875" bestFit="1" customWidth="1"/>
    <col min="7952" max="7952" width="10.5546875" bestFit="1" customWidth="1"/>
    <col min="8193" max="8193" width="9.88671875" customWidth="1"/>
    <col min="8194" max="8196" width="9.6640625" customWidth="1"/>
    <col min="8205" max="8205" width="11.5546875" bestFit="1" customWidth="1"/>
    <col min="8208" max="8208" width="10.5546875" bestFit="1" customWidth="1"/>
    <col min="8449" max="8449" width="9.88671875" customWidth="1"/>
    <col min="8450" max="8452" width="9.6640625" customWidth="1"/>
    <col min="8461" max="8461" width="11.5546875" bestFit="1" customWidth="1"/>
    <col min="8464" max="8464" width="10.5546875" bestFit="1" customWidth="1"/>
    <col min="8705" max="8705" width="9.88671875" customWidth="1"/>
    <col min="8706" max="8708" width="9.6640625" customWidth="1"/>
    <col min="8717" max="8717" width="11.5546875" bestFit="1" customWidth="1"/>
    <col min="8720" max="8720" width="10.5546875" bestFit="1" customWidth="1"/>
    <col min="8961" max="8961" width="9.88671875" customWidth="1"/>
    <col min="8962" max="8964" width="9.6640625" customWidth="1"/>
    <col min="8973" max="8973" width="11.5546875" bestFit="1" customWidth="1"/>
    <col min="8976" max="8976" width="10.5546875" bestFit="1" customWidth="1"/>
    <col min="9217" max="9217" width="9.88671875" customWidth="1"/>
    <col min="9218" max="9220" width="9.6640625" customWidth="1"/>
    <col min="9229" max="9229" width="11.5546875" bestFit="1" customWidth="1"/>
    <col min="9232" max="9232" width="10.5546875" bestFit="1" customWidth="1"/>
    <col min="9473" max="9473" width="9.88671875" customWidth="1"/>
    <col min="9474" max="9476" width="9.6640625" customWidth="1"/>
    <col min="9485" max="9485" width="11.5546875" bestFit="1" customWidth="1"/>
    <col min="9488" max="9488" width="10.5546875" bestFit="1" customWidth="1"/>
    <col min="9729" max="9729" width="9.88671875" customWidth="1"/>
    <col min="9730" max="9732" width="9.6640625" customWidth="1"/>
    <col min="9741" max="9741" width="11.5546875" bestFit="1" customWidth="1"/>
    <col min="9744" max="9744" width="10.5546875" bestFit="1" customWidth="1"/>
    <col min="9985" max="9985" width="9.88671875" customWidth="1"/>
    <col min="9986" max="9988" width="9.6640625" customWidth="1"/>
    <col min="9997" max="9997" width="11.5546875" bestFit="1" customWidth="1"/>
    <col min="10000" max="10000" width="10.5546875" bestFit="1" customWidth="1"/>
    <col min="10241" max="10241" width="9.88671875" customWidth="1"/>
    <col min="10242" max="10244" width="9.6640625" customWidth="1"/>
    <col min="10253" max="10253" width="11.5546875" bestFit="1" customWidth="1"/>
    <col min="10256" max="10256" width="10.5546875" bestFit="1" customWidth="1"/>
    <col min="10497" max="10497" width="9.88671875" customWidth="1"/>
    <col min="10498" max="10500" width="9.6640625" customWidth="1"/>
    <col min="10509" max="10509" width="11.5546875" bestFit="1" customWidth="1"/>
    <col min="10512" max="10512" width="10.5546875" bestFit="1" customWidth="1"/>
    <col min="10753" max="10753" width="9.88671875" customWidth="1"/>
    <col min="10754" max="10756" width="9.6640625" customWidth="1"/>
    <col min="10765" max="10765" width="11.5546875" bestFit="1" customWidth="1"/>
    <col min="10768" max="10768" width="10.5546875" bestFit="1" customWidth="1"/>
    <col min="11009" max="11009" width="9.88671875" customWidth="1"/>
    <col min="11010" max="11012" width="9.6640625" customWidth="1"/>
    <col min="11021" max="11021" width="11.5546875" bestFit="1" customWidth="1"/>
    <col min="11024" max="11024" width="10.5546875" bestFit="1" customWidth="1"/>
    <col min="11265" max="11265" width="9.88671875" customWidth="1"/>
    <col min="11266" max="11268" width="9.6640625" customWidth="1"/>
    <col min="11277" max="11277" width="11.5546875" bestFit="1" customWidth="1"/>
    <col min="11280" max="11280" width="10.5546875" bestFit="1" customWidth="1"/>
    <col min="11521" max="11521" width="9.88671875" customWidth="1"/>
    <col min="11522" max="11524" width="9.6640625" customWidth="1"/>
    <col min="11533" max="11533" width="11.5546875" bestFit="1" customWidth="1"/>
    <col min="11536" max="11536" width="10.5546875" bestFit="1" customWidth="1"/>
    <col min="11777" max="11777" width="9.88671875" customWidth="1"/>
    <col min="11778" max="11780" width="9.6640625" customWidth="1"/>
    <col min="11789" max="11789" width="11.5546875" bestFit="1" customWidth="1"/>
    <col min="11792" max="11792" width="10.5546875" bestFit="1" customWidth="1"/>
    <col min="12033" max="12033" width="9.88671875" customWidth="1"/>
    <col min="12034" max="12036" width="9.6640625" customWidth="1"/>
    <col min="12045" max="12045" width="11.5546875" bestFit="1" customWidth="1"/>
    <col min="12048" max="12048" width="10.5546875" bestFit="1" customWidth="1"/>
    <col min="12289" max="12289" width="9.88671875" customWidth="1"/>
    <col min="12290" max="12292" width="9.6640625" customWidth="1"/>
    <col min="12301" max="12301" width="11.5546875" bestFit="1" customWidth="1"/>
    <col min="12304" max="12304" width="10.5546875" bestFit="1" customWidth="1"/>
    <col min="12545" max="12545" width="9.88671875" customWidth="1"/>
    <col min="12546" max="12548" width="9.6640625" customWidth="1"/>
    <col min="12557" max="12557" width="11.5546875" bestFit="1" customWidth="1"/>
    <col min="12560" max="12560" width="10.5546875" bestFit="1" customWidth="1"/>
    <col min="12801" max="12801" width="9.88671875" customWidth="1"/>
    <col min="12802" max="12804" width="9.6640625" customWidth="1"/>
    <col min="12813" max="12813" width="11.5546875" bestFit="1" customWidth="1"/>
    <col min="12816" max="12816" width="10.5546875" bestFit="1" customWidth="1"/>
    <col min="13057" max="13057" width="9.88671875" customWidth="1"/>
    <col min="13058" max="13060" width="9.6640625" customWidth="1"/>
    <col min="13069" max="13069" width="11.5546875" bestFit="1" customWidth="1"/>
    <col min="13072" max="13072" width="10.5546875" bestFit="1" customWidth="1"/>
    <col min="13313" max="13313" width="9.88671875" customWidth="1"/>
    <col min="13314" max="13316" width="9.6640625" customWidth="1"/>
    <col min="13325" max="13325" width="11.5546875" bestFit="1" customWidth="1"/>
    <col min="13328" max="13328" width="10.5546875" bestFit="1" customWidth="1"/>
    <col min="13569" max="13569" width="9.88671875" customWidth="1"/>
    <col min="13570" max="13572" width="9.6640625" customWidth="1"/>
    <col min="13581" max="13581" width="11.5546875" bestFit="1" customWidth="1"/>
    <col min="13584" max="13584" width="10.5546875" bestFit="1" customWidth="1"/>
    <col min="13825" max="13825" width="9.88671875" customWidth="1"/>
    <col min="13826" max="13828" width="9.6640625" customWidth="1"/>
    <col min="13837" max="13837" width="11.5546875" bestFit="1" customWidth="1"/>
    <col min="13840" max="13840" width="10.5546875" bestFit="1" customWidth="1"/>
    <col min="14081" max="14081" width="9.88671875" customWidth="1"/>
    <col min="14082" max="14084" width="9.6640625" customWidth="1"/>
    <col min="14093" max="14093" width="11.5546875" bestFit="1" customWidth="1"/>
    <col min="14096" max="14096" width="10.5546875" bestFit="1" customWidth="1"/>
    <col min="14337" max="14337" width="9.88671875" customWidth="1"/>
    <col min="14338" max="14340" width="9.6640625" customWidth="1"/>
    <col min="14349" max="14349" width="11.5546875" bestFit="1" customWidth="1"/>
    <col min="14352" max="14352" width="10.5546875" bestFit="1" customWidth="1"/>
    <col min="14593" max="14593" width="9.88671875" customWidth="1"/>
    <col min="14594" max="14596" width="9.6640625" customWidth="1"/>
    <col min="14605" max="14605" width="11.5546875" bestFit="1" customWidth="1"/>
    <col min="14608" max="14608" width="10.5546875" bestFit="1" customWidth="1"/>
    <col min="14849" max="14849" width="9.88671875" customWidth="1"/>
    <col min="14850" max="14852" width="9.6640625" customWidth="1"/>
    <col min="14861" max="14861" width="11.5546875" bestFit="1" customWidth="1"/>
    <col min="14864" max="14864" width="10.5546875" bestFit="1" customWidth="1"/>
    <col min="15105" max="15105" width="9.88671875" customWidth="1"/>
    <col min="15106" max="15108" width="9.6640625" customWidth="1"/>
    <col min="15117" max="15117" width="11.5546875" bestFit="1" customWidth="1"/>
    <col min="15120" max="15120" width="10.5546875" bestFit="1" customWidth="1"/>
    <col min="15361" max="15361" width="9.88671875" customWidth="1"/>
    <col min="15362" max="15364" width="9.6640625" customWidth="1"/>
    <col min="15373" max="15373" width="11.5546875" bestFit="1" customWidth="1"/>
    <col min="15376" max="15376" width="10.5546875" bestFit="1" customWidth="1"/>
    <col min="15617" max="15617" width="9.88671875" customWidth="1"/>
    <col min="15618" max="15620" width="9.6640625" customWidth="1"/>
    <col min="15629" max="15629" width="11.5546875" bestFit="1" customWidth="1"/>
    <col min="15632" max="15632" width="10.5546875" bestFit="1" customWidth="1"/>
    <col min="15873" max="15873" width="9.88671875" customWidth="1"/>
    <col min="15874" max="15876" width="9.6640625" customWidth="1"/>
    <col min="15885" max="15885" width="11.5546875" bestFit="1" customWidth="1"/>
    <col min="15888" max="15888" width="10.5546875" bestFit="1" customWidth="1"/>
    <col min="16129" max="16129" width="9.88671875" customWidth="1"/>
    <col min="16130" max="16132" width="9.6640625" customWidth="1"/>
    <col min="16141" max="16141" width="11.5546875" bestFit="1" customWidth="1"/>
    <col min="16144" max="16144" width="10.5546875" bestFit="1" customWidth="1"/>
  </cols>
  <sheetData>
    <row r="1" spans="1:24" ht="28.8" customHeight="1" x14ac:dyDescent="0.35">
      <c r="A1" s="214" t="s">
        <v>57</v>
      </c>
      <c r="B1" s="215"/>
      <c r="C1" s="215"/>
      <c r="D1" s="216"/>
      <c r="E1" s="161"/>
    </row>
    <row r="2" spans="1:24" ht="25.8" customHeight="1" x14ac:dyDescent="0.3">
      <c r="A2" s="218" t="s">
        <v>9</v>
      </c>
      <c r="B2" s="219"/>
      <c r="C2" s="219"/>
      <c r="D2" s="219"/>
      <c r="E2" s="165"/>
      <c r="F2" s="165"/>
      <c r="G2" s="1"/>
      <c r="H2" s="1"/>
      <c r="I2" s="1"/>
      <c r="J2" s="1"/>
      <c r="K2" s="1"/>
      <c r="L2" s="1"/>
      <c r="M2" s="1"/>
      <c r="N2" s="1"/>
      <c r="O2" s="1"/>
      <c r="P2" s="1"/>
    </row>
    <row r="3" spans="1:24" ht="17.25" customHeight="1" x14ac:dyDescent="0.3">
      <c r="A3" s="171" t="s">
        <v>61</v>
      </c>
      <c r="B3" s="219"/>
      <c r="C3" s="219"/>
      <c r="D3" s="219"/>
      <c r="E3" s="165"/>
      <c r="F3" s="165"/>
      <c r="G3" s="1"/>
      <c r="H3" s="1"/>
      <c r="I3" s="1"/>
      <c r="J3" s="1"/>
      <c r="K3" s="1"/>
      <c r="L3" s="1"/>
      <c r="M3" s="1"/>
      <c r="N3" s="1"/>
      <c r="O3" s="1"/>
      <c r="P3" s="1"/>
    </row>
    <row r="4" spans="1:24" ht="17.25" customHeight="1" thickBot="1" x14ac:dyDescent="0.3">
      <c r="A4" s="4"/>
      <c r="B4" s="3"/>
      <c r="C4" s="3"/>
      <c r="D4" s="3"/>
      <c r="E4" s="165"/>
      <c r="F4" s="165"/>
      <c r="G4" s="1"/>
      <c r="H4" s="1"/>
      <c r="I4" s="170"/>
      <c r="J4" s="1"/>
      <c r="K4" s="1"/>
      <c r="L4" s="1"/>
      <c r="M4" s="1"/>
      <c r="N4" s="1"/>
      <c r="O4" s="1"/>
      <c r="P4" s="1"/>
    </row>
    <row r="5" spans="1:24" ht="34.799999999999997" customHeight="1" thickTop="1" thickBot="1" x14ac:dyDescent="0.3">
      <c r="A5" s="8" t="s">
        <v>0</v>
      </c>
      <c r="B5" s="222">
        <v>12</v>
      </c>
      <c r="C5" s="222">
        <v>16</v>
      </c>
      <c r="D5" s="229">
        <v>20</v>
      </c>
      <c r="E5" s="9"/>
      <c r="F5" s="9"/>
      <c r="G5" s="9"/>
      <c r="H5" s="9"/>
      <c r="I5" s="9"/>
      <c r="J5" s="9"/>
      <c r="K5" s="9"/>
      <c r="L5" s="9"/>
    </row>
    <row r="6" spans="1:24" ht="21.75" customHeight="1" thickTop="1" thickBot="1" x14ac:dyDescent="0.3">
      <c r="A6" s="134" t="s">
        <v>54</v>
      </c>
      <c r="B6" s="135">
        <v>6.1</v>
      </c>
      <c r="C6" s="135">
        <v>8.3000000000000007</v>
      </c>
      <c r="D6" s="136">
        <v>10.4</v>
      </c>
      <c r="E6" s="9"/>
      <c r="F6" s="179" t="s">
        <v>4</v>
      </c>
      <c r="G6" s="180"/>
      <c r="H6" s="181"/>
      <c r="I6" s="9"/>
      <c r="J6" s="9"/>
      <c r="K6" s="9"/>
      <c r="L6" s="9"/>
    </row>
    <row r="7" spans="1:24" ht="21.75" customHeight="1" thickBot="1" x14ac:dyDescent="0.3">
      <c r="A7" s="153" t="s">
        <v>52</v>
      </c>
      <c r="B7" s="137">
        <v>3</v>
      </c>
      <c r="C7" s="137" t="s">
        <v>2</v>
      </c>
      <c r="D7" s="230" t="s">
        <v>3</v>
      </c>
      <c r="E7" s="9"/>
      <c r="F7" s="234" t="s">
        <v>12</v>
      </c>
      <c r="G7" s="234"/>
      <c r="H7" s="12"/>
      <c r="I7" s="234" t="s">
        <v>13</v>
      </c>
      <c r="J7" s="234"/>
      <c r="K7" s="9"/>
      <c r="L7" s="234" t="s">
        <v>14</v>
      </c>
      <c r="M7" s="234"/>
    </row>
    <row r="8" spans="1:24" ht="15.9" customHeight="1" thickBot="1" x14ac:dyDescent="0.3">
      <c r="A8" s="150" t="s">
        <v>53</v>
      </c>
      <c r="B8" s="19">
        <v>12</v>
      </c>
      <c r="C8" s="19">
        <v>16</v>
      </c>
      <c r="D8" s="144">
        <v>20</v>
      </c>
      <c r="E8" s="10"/>
      <c r="F8" s="235"/>
      <c r="G8" s="235"/>
      <c r="H8" s="12"/>
      <c r="I8" s="235"/>
      <c r="J8" s="235"/>
      <c r="K8" s="11"/>
      <c r="L8" s="235"/>
      <c r="M8" s="235"/>
    </row>
    <row r="9" spans="1:24" ht="15.9" customHeight="1" thickBot="1" x14ac:dyDescent="0.3">
      <c r="A9" s="151">
        <v>0</v>
      </c>
      <c r="B9" s="16">
        <v>84</v>
      </c>
      <c r="C9" s="16">
        <v>88</v>
      </c>
      <c r="D9" s="145">
        <v>90</v>
      </c>
      <c r="E9" s="5"/>
      <c r="F9" s="231" t="s">
        <v>5</v>
      </c>
      <c r="G9" s="232"/>
      <c r="H9" s="12"/>
      <c r="I9" s="231" t="s">
        <v>5</v>
      </c>
      <c r="J9" s="232"/>
      <c r="K9" s="12"/>
      <c r="L9" s="231" t="s">
        <v>5</v>
      </c>
      <c r="M9" s="233"/>
      <c r="U9" s="122"/>
      <c r="V9" s="122"/>
      <c r="W9" s="122"/>
      <c r="X9" s="122"/>
    </row>
    <row r="10" spans="1:24" ht="15.9" customHeight="1" thickBot="1" x14ac:dyDescent="0.3">
      <c r="A10" s="151">
        <v>0.2</v>
      </c>
      <c r="B10" s="16">
        <v>87.4</v>
      </c>
      <c r="C10" s="16">
        <v>91</v>
      </c>
      <c r="D10" s="145">
        <v>93.3</v>
      </c>
      <c r="E10" s="5"/>
      <c r="F10" s="236" t="s">
        <v>10</v>
      </c>
      <c r="G10" s="238" t="s">
        <v>6</v>
      </c>
      <c r="H10" s="12"/>
      <c r="I10" s="236" t="s">
        <v>10</v>
      </c>
      <c r="J10" s="238" t="s">
        <v>6</v>
      </c>
      <c r="K10" s="12"/>
      <c r="L10" s="236" t="s">
        <v>10</v>
      </c>
      <c r="M10" s="238" t="s">
        <v>6</v>
      </c>
      <c r="U10" s="122"/>
      <c r="V10" s="122"/>
      <c r="W10" s="122"/>
      <c r="X10" s="122"/>
    </row>
    <row r="11" spans="1:24" ht="15.9" customHeight="1" thickBot="1" x14ac:dyDescent="0.3">
      <c r="A11" s="151">
        <v>0.4</v>
      </c>
      <c r="B11" s="16">
        <v>90</v>
      </c>
      <c r="C11" s="16">
        <v>94</v>
      </c>
      <c r="D11" s="145">
        <v>95.7</v>
      </c>
      <c r="E11" s="5"/>
      <c r="F11" s="237">
        <v>5</v>
      </c>
      <c r="G11" s="239">
        <f>Interpolate2DTable(F11,12,$A$8:$D$84)</f>
        <v>53.300000000000075</v>
      </c>
      <c r="H11" s="12"/>
      <c r="I11" s="237">
        <v>16.5</v>
      </c>
      <c r="J11" s="239">
        <f>Interpolate2DTable(I11,16,$A$8:$D$84)</f>
        <v>3.3</v>
      </c>
      <c r="K11" s="12"/>
      <c r="L11" s="237">
        <v>2.7</v>
      </c>
      <c r="M11" s="239">
        <f>Interpolate2DTable(L11,20,$A$8:$D$84)</f>
        <v>100</v>
      </c>
      <c r="U11" s="122"/>
      <c r="V11" s="122"/>
      <c r="W11" s="122"/>
      <c r="X11" s="122"/>
    </row>
    <row r="12" spans="1:24" ht="15.9" customHeight="1" x14ac:dyDescent="0.25">
      <c r="A12" s="151">
        <v>0.60000000000000009</v>
      </c>
      <c r="B12" s="16">
        <v>91.7</v>
      </c>
      <c r="C12" s="16">
        <v>96</v>
      </c>
      <c r="D12" s="145">
        <v>97.3</v>
      </c>
      <c r="E12" s="5"/>
      <c r="F12" s="28"/>
      <c r="G12" s="56"/>
      <c r="H12" s="12"/>
      <c r="I12" s="12"/>
      <c r="J12" s="12"/>
      <c r="K12" s="12"/>
      <c r="L12" s="12"/>
      <c r="M12" s="12"/>
      <c r="U12" s="122"/>
      <c r="V12" s="122"/>
      <c r="W12" s="122"/>
      <c r="X12" s="122"/>
    </row>
    <row r="13" spans="1:24" ht="15.9" customHeight="1" x14ac:dyDescent="0.25">
      <c r="A13" s="151">
        <v>0.8</v>
      </c>
      <c r="B13" s="16">
        <v>93.3</v>
      </c>
      <c r="C13" s="16">
        <v>97.2</v>
      </c>
      <c r="D13" s="145">
        <v>98.5</v>
      </c>
      <c r="E13" s="5"/>
      <c r="I13" s="12"/>
      <c r="J13" s="12"/>
      <c r="K13" s="12"/>
      <c r="L13" s="12"/>
      <c r="M13" s="12"/>
      <c r="U13" s="122"/>
      <c r="V13" s="122"/>
      <c r="W13" s="122"/>
      <c r="X13" s="122"/>
    </row>
    <row r="14" spans="1:24" ht="24" customHeight="1" x14ac:dyDescent="0.25">
      <c r="A14" s="151">
        <v>1</v>
      </c>
      <c r="B14" s="16">
        <v>94.5</v>
      </c>
      <c r="C14" s="16">
        <v>98.1</v>
      </c>
      <c r="D14" s="145">
        <v>99.2</v>
      </c>
      <c r="E14" s="5"/>
      <c r="F14" s="162"/>
      <c r="G14" s="12"/>
      <c r="H14" s="12"/>
      <c r="I14" s="12"/>
      <c r="J14" s="12"/>
      <c r="K14" s="12"/>
      <c r="L14" s="12"/>
      <c r="M14" s="12"/>
      <c r="U14" s="122"/>
      <c r="V14" s="122"/>
      <c r="W14" s="122"/>
      <c r="X14" s="122"/>
    </row>
    <row r="15" spans="1:24" ht="15.9" customHeight="1" x14ac:dyDescent="0.25">
      <c r="A15" s="151">
        <v>1.2</v>
      </c>
      <c r="B15" s="16">
        <v>95.5</v>
      </c>
      <c r="C15" s="16">
        <v>98.7</v>
      </c>
      <c r="D15" s="145">
        <v>99.6</v>
      </c>
      <c r="E15" s="5"/>
      <c r="F15" s="163"/>
      <c r="G15" s="1"/>
      <c r="H15" s="12"/>
      <c r="I15" s="12"/>
      <c r="J15" s="12"/>
      <c r="K15" s="12"/>
      <c r="L15" s="12"/>
      <c r="M15" s="12"/>
      <c r="U15" s="122"/>
      <c r="V15" s="122"/>
      <c r="W15" s="122"/>
      <c r="X15" s="122"/>
    </row>
    <row r="16" spans="1:24" ht="15.9" customHeight="1" x14ac:dyDescent="0.25">
      <c r="A16" s="151">
        <v>1.4</v>
      </c>
      <c r="B16" s="16">
        <v>96.3</v>
      </c>
      <c r="C16" s="16">
        <v>99.15</v>
      </c>
      <c r="D16" s="145">
        <v>99.9</v>
      </c>
      <c r="E16" s="5"/>
      <c r="F16" s="164"/>
      <c r="G16" s="165"/>
      <c r="H16" s="12"/>
      <c r="I16" s="12"/>
      <c r="J16" s="12"/>
      <c r="K16" s="12"/>
      <c r="L16" s="12"/>
      <c r="M16" s="12"/>
      <c r="U16" s="122"/>
      <c r="V16" s="122"/>
      <c r="W16" s="122"/>
      <c r="X16" s="122"/>
    </row>
    <row r="17" spans="1:24" ht="15.9" customHeight="1" x14ac:dyDescent="0.25">
      <c r="A17" s="151">
        <v>1.5999999999999999</v>
      </c>
      <c r="B17" s="16">
        <v>97.1</v>
      </c>
      <c r="C17" s="16">
        <v>99.5</v>
      </c>
      <c r="D17" s="145">
        <v>99.9</v>
      </c>
      <c r="E17" s="5"/>
      <c r="F17" s="26"/>
      <c r="G17" s="27"/>
      <c r="H17" s="12"/>
      <c r="I17" s="12"/>
      <c r="J17" s="12"/>
      <c r="K17" s="12"/>
      <c r="L17" s="12"/>
      <c r="M17" s="12"/>
      <c r="U17" s="122"/>
      <c r="V17" s="122"/>
      <c r="W17" s="122"/>
      <c r="X17" s="122"/>
    </row>
    <row r="18" spans="1:24" ht="15.9" customHeight="1" x14ac:dyDescent="0.25">
      <c r="A18" s="151">
        <v>1.7999999999999998</v>
      </c>
      <c r="B18" s="16">
        <v>97.7</v>
      </c>
      <c r="C18" s="16">
        <v>99.8</v>
      </c>
      <c r="D18" s="145">
        <v>99.9</v>
      </c>
      <c r="E18" s="5"/>
      <c r="F18" s="28"/>
      <c r="G18" s="56"/>
      <c r="H18" s="12"/>
      <c r="I18" s="12"/>
      <c r="J18" s="12"/>
      <c r="K18" s="12"/>
      <c r="L18" s="12"/>
      <c r="M18" s="12"/>
      <c r="U18" s="122"/>
      <c r="V18" s="122"/>
      <c r="W18" s="122"/>
      <c r="X18" s="122"/>
    </row>
    <row r="19" spans="1:24" ht="24" customHeight="1" x14ac:dyDescent="0.25">
      <c r="A19" s="151">
        <v>1.9999999999999998</v>
      </c>
      <c r="B19" s="16">
        <v>98.3</v>
      </c>
      <c r="C19" s="16">
        <v>100</v>
      </c>
      <c r="D19" s="145">
        <v>100</v>
      </c>
      <c r="E19" s="5"/>
      <c r="I19" s="12"/>
      <c r="J19" s="12"/>
      <c r="K19" s="12"/>
      <c r="L19" s="12"/>
      <c r="M19" s="12"/>
      <c r="U19" s="122"/>
      <c r="V19" s="122"/>
      <c r="W19" s="122"/>
      <c r="X19" s="122"/>
    </row>
    <row r="20" spans="1:24" ht="15.9" customHeight="1" x14ac:dyDescent="0.25">
      <c r="A20" s="151">
        <v>2.1999999999999997</v>
      </c>
      <c r="B20" s="16">
        <v>98.8</v>
      </c>
      <c r="C20" s="16">
        <v>100</v>
      </c>
      <c r="D20" s="145">
        <v>100</v>
      </c>
      <c r="E20" s="5"/>
      <c r="I20" s="12"/>
      <c r="J20" s="12"/>
      <c r="K20" s="12"/>
      <c r="L20" s="12"/>
      <c r="M20" s="12"/>
      <c r="U20" s="122"/>
      <c r="V20" s="122"/>
      <c r="W20" s="122"/>
      <c r="X20" s="122"/>
    </row>
    <row r="21" spans="1:24" ht="15.9" customHeight="1" x14ac:dyDescent="0.25">
      <c r="A21" s="151">
        <v>2.4</v>
      </c>
      <c r="B21" s="16">
        <v>99.3</v>
      </c>
      <c r="C21" s="16">
        <v>100</v>
      </c>
      <c r="D21" s="145">
        <v>100</v>
      </c>
      <c r="E21" s="5"/>
      <c r="I21" s="12"/>
      <c r="J21" s="12"/>
      <c r="K21" s="12"/>
      <c r="L21" s="12"/>
      <c r="M21" s="12"/>
      <c r="U21" s="122"/>
      <c r="V21" s="122"/>
      <c r="W21" s="122"/>
      <c r="X21" s="122"/>
    </row>
    <row r="22" spans="1:24" ht="15.9" customHeight="1" x14ac:dyDescent="0.25">
      <c r="A22" s="151">
        <v>2.6</v>
      </c>
      <c r="B22" s="16">
        <v>99.7</v>
      </c>
      <c r="C22" s="16">
        <v>100</v>
      </c>
      <c r="D22" s="145">
        <v>100</v>
      </c>
      <c r="E22" s="5"/>
      <c r="I22" s="12"/>
      <c r="J22" s="12"/>
      <c r="K22" s="12"/>
      <c r="L22" s="12"/>
      <c r="M22" s="12"/>
      <c r="U22" s="122"/>
      <c r="V22" s="122"/>
      <c r="W22" s="122"/>
      <c r="X22" s="122"/>
    </row>
    <row r="23" spans="1:24" ht="15.9" customHeight="1" x14ac:dyDescent="0.25">
      <c r="A23" s="151">
        <v>2.8000000000000003</v>
      </c>
      <c r="B23" s="16">
        <v>100</v>
      </c>
      <c r="C23" s="16">
        <v>100</v>
      </c>
      <c r="D23" s="145">
        <v>100</v>
      </c>
      <c r="E23" s="5"/>
      <c r="I23" s="12"/>
      <c r="J23" s="12"/>
      <c r="K23" s="12"/>
      <c r="L23" s="12"/>
      <c r="M23" s="12"/>
      <c r="U23" s="122"/>
      <c r="V23" s="122"/>
      <c r="W23" s="122"/>
      <c r="X23" s="122"/>
    </row>
    <row r="24" spans="1:24" ht="24" customHeight="1" x14ac:dyDescent="0.25">
      <c r="A24" s="151">
        <v>3.0000000000000004</v>
      </c>
      <c r="B24" s="16">
        <v>100</v>
      </c>
      <c r="C24" s="16">
        <v>100</v>
      </c>
      <c r="D24" s="145">
        <v>100</v>
      </c>
      <c r="E24" s="5"/>
      <c r="I24" s="12"/>
      <c r="J24" s="12"/>
      <c r="K24" s="12"/>
      <c r="L24" s="12"/>
      <c r="M24" s="12"/>
      <c r="U24" s="122"/>
      <c r="V24" s="122"/>
      <c r="W24" s="122"/>
      <c r="X24" s="122"/>
    </row>
    <row r="25" spans="1:24" ht="15.9" customHeight="1" x14ac:dyDescent="0.25">
      <c r="A25" s="151">
        <v>3.2000000000000006</v>
      </c>
      <c r="B25" s="16">
        <v>99.6</v>
      </c>
      <c r="C25" s="16">
        <v>100</v>
      </c>
      <c r="D25" s="145">
        <v>100</v>
      </c>
      <c r="E25" s="5"/>
      <c r="F25" s="12"/>
      <c r="G25" s="12"/>
      <c r="H25" s="12"/>
      <c r="I25" s="12"/>
      <c r="J25" s="12"/>
      <c r="K25" s="12"/>
      <c r="L25" s="12"/>
      <c r="M25" s="12"/>
      <c r="N25" s="12"/>
      <c r="O25" s="1"/>
      <c r="P25" s="1"/>
      <c r="U25" s="122"/>
      <c r="V25" s="122"/>
      <c r="W25" s="122"/>
      <c r="X25" s="122"/>
    </row>
    <row r="26" spans="1:24" ht="15.9" customHeight="1" x14ac:dyDescent="0.25">
      <c r="A26" s="151">
        <v>3.4000000000000008</v>
      </c>
      <c r="B26" s="16">
        <v>98.9</v>
      </c>
      <c r="C26" s="16">
        <v>100</v>
      </c>
      <c r="D26" s="145">
        <v>100</v>
      </c>
      <c r="E26" s="5"/>
      <c r="F26" s="12"/>
      <c r="G26" s="12"/>
      <c r="H26" s="12"/>
      <c r="I26" s="12"/>
      <c r="J26" s="12"/>
      <c r="K26" s="12"/>
      <c r="L26" s="12"/>
      <c r="M26" s="12"/>
      <c r="N26" s="12"/>
      <c r="O26" s="1"/>
      <c r="P26" s="1"/>
      <c r="U26" s="122"/>
      <c r="V26" s="122"/>
      <c r="W26" s="122"/>
      <c r="X26" s="122"/>
    </row>
    <row r="27" spans="1:24" ht="15.9" customHeight="1" x14ac:dyDescent="0.25">
      <c r="A27" s="151">
        <v>3.600000000000001</v>
      </c>
      <c r="B27" s="16">
        <v>97.6</v>
      </c>
      <c r="C27" s="16">
        <v>100</v>
      </c>
      <c r="D27" s="145">
        <v>100</v>
      </c>
      <c r="E27" s="5"/>
      <c r="H27" s="12"/>
      <c r="I27" s="12"/>
      <c r="J27" s="12"/>
      <c r="K27" s="12"/>
      <c r="L27" s="12"/>
      <c r="M27" s="12"/>
      <c r="N27" s="12"/>
      <c r="O27" s="1"/>
      <c r="P27" s="1"/>
      <c r="U27" s="122"/>
      <c r="V27" s="122"/>
      <c r="W27" s="122"/>
      <c r="X27" s="122"/>
    </row>
    <row r="28" spans="1:24" ht="15.9" customHeight="1" x14ac:dyDescent="0.25">
      <c r="A28" s="151">
        <v>3.8000000000000012</v>
      </c>
      <c r="B28" s="16">
        <v>94.8</v>
      </c>
      <c r="C28" s="16">
        <v>99.95</v>
      </c>
      <c r="D28" s="145">
        <v>100</v>
      </c>
      <c r="E28" s="5"/>
      <c r="H28" s="12"/>
      <c r="I28" s="12"/>
      <c r="J28" s="12"/>
      <c r="K28" s="12"/>
      <c r="L28" s="12"/>
      <c r="M28" s="12"/>
      <c r="N28" s="12"/>
      <c r="O28" s="1"/>
      <c r="P28" s="1"/>
      <c r="U28" s="122"/>
      <c r="V28" s="122"/>
      <c r="W28" s="122"/>
      <c r="X28" s="122"/>
    </row>
    <row r="29" spans="1:24" ht="24" customHeight="1" x14ac:dyDescent="0.25">
      <c r="A29" s="151">
        <v>4.0000000000000009</v>
      </c>
      <c r="B29" s="16">
        <v>91.6</v>
      </c>
      <c r="C29" s="16">
        <v>99.1</v>
      </c>
      <c r="D29" s="145">
        <v>99.95</v>
      </c>
      <c r="E29" s="5"/>
      <c r="H29" s="12"/>
      <c r="I29" s="12"/>
      <c r="J29" s="12"/>
      <c r="K29" s="12"/>
      <c r="L29" s="12"/>
      <c r="M29" s="12"/>
      <c r="N29" s="12"/>
      <c r="O29" s="1"/>
      <c r="P29" s="1"/>
      <c r="U29" s="122"/>
      <c r="V29" s="122"/>
      <c r="W29" s="122"/>
      <c r="X29" s="122"/>
    </row>
    <row r="30" spans="1:24" ht="15.9" customHeight="1" x14ac:dyDescent="0.25">
      <c r="A30" s="151">
        <v>4.2000000000000011</v>
      </c>
      <c r="B30" s="16">
        <v>86.7</v>
      </c>
      <c r="C30" s="16">
        <v>98</v>
      </c>
      <c r="D30" s="145">
        <v>99.6</v>
      </c>
      <c r="E30" s="5"/>
      <c r="H30" s="12"/>
      <c r="I30" s="12"/>
      <c r="J30" s="12"/>
      <c r="K30" s="12"/>
      <c r="L30" s="12"/>
      <c r="M30" s="12"/>
      <c r="N30" s="12"/>
      <c r="O30" s="1"/>
      <c r="P30" s="1"/>
      <c r="U30" s="122"/>
      <c r="V30" s="122"/>
      <c r="W30" s="122"/>
      <c r="X30" s="122"/>
    </row>
    <row r="31" spans="1:24" ht="15.9" customHeight="1" x14ac:dyDescent="0.25">
      <c r="A31" s="151">
        <v>4.4000000000000012</v>
      </c>
      <c r="B31" s="16">
        <v>80</v>
      </c>
      <c r="C31" s="16">
        <v>96.9</v>
      </c>
      <c r="D31" s="145">
        <v>99.1</v>
      </c>
      <c r="E31" s="5"/>
      <c r="H31" s="12"/>
      <c r="I31" s="12"/>
      <c r="J31" s="12"/>
      <c r="K31" s="12"/>
      <c r="L31" s="12"/>
      <c r="M31" s="12"/>
      <c r="N31" s="12"/>
      <c r="O31" s="1"/>
      <c r="P31" s="1"/>
      <c r="U31" s="122"/>
      <c r="V31" s="122"/>
      <c r="W31" s="122"/>
      <c r="X31" s="122"/>
    </row>
    <row r="32" spans="1:24" ht="15.9" customHeight="1" x14ac:dyDescent="0.25">
      <c r="A32" s="151">
        <v>4.6000000000000014</v>
      </c>
      <c r="B32" s="16">
        <v>71.099999999999994</v>
      </c>
      <c r="C32" s="16">
        <v>95.6</v>
      </c>
      <c r="D32" s="145">
        <v>98.5</v>
      </c>
      <c r="E32" s="5"/>
      <c r="F32" s="12"/>
      <c r="G32" s="12"/>
      <c r="H32" s="12"/>
      <c r="I32" s="12"/>
      <c r="J32" s="12"/>
      <c r="K32" s="12"/>
      <c r="L32" s="12"/>
      <c r="M32" s="12"/>
      <c r="N32" s="12"/>
      <c r="O32" s="1"/>
      <c r="P32" s="1"/>
      <c r="U32" s="122"/>
      <c r="V32" s="122"/>
      <c r="W32" s="122"/>
      <c r="X32" s="122"/>
    </row>
    <row r="33" spans="1:24" ht="15.9" customHeight="1" x14ac:dyDescent="0.25">
      <c r="A33" s="151">
        <v>4.8000000000000016</v>
      </c>
      <c r="B33" s="16">
        <v>62.2</v>
      </c>
      <c r="C33" s="16">
        <v>94.2</v>
      </c>
      <c r="D33" s="145">
        <v>97.9</v>
      </c>
      <c r="E33" s="5"/>
      <c r="H33" s="12"/>
      <c r="I33" s="12"/>
      <c r="J33" s="12"/>
      <c r="K33" s="12"/>
      <c r="L33" s="12"/>
      <c r="M33" s="12"/>
      <c r="N33" s="12"/>
      <c r="O33" s="1"/>
      <c r="P33" s="1"/>
      <c r="U33" s="122"/>
      <c r="V33" s="122"/>
      <c r="W33" s="122"/>
      <c r="X33" s="122"/>
    </row>
    <row r="34" spans="1:24" ht="24" customHeight="1" x14ac:dyDescent="0.25">
      <c r="A34" s="151">
        <v>5.0000000000000018</v>
      </c>
      <c r="B34" s="16">
        <v>53.3</v>
      </c>
      <c r="C34" s="16">
        <v>92.5</v>
      </c>
      <c r="D34" s="145">
        <v>97</v>
      </c>
      <c r="E34" s="5"/>
      <c r="H34" s="12"/>
      <c r="I34" s="12"/>
      <c r="J34" s="12"/>
      <c r="K34" s="12"/>
      <c r="L34" s="12"/>
      <c r="M34" s="12"/>
      <c r="N34" s="12"/>
      <c r="O34" s="1"/>
      <c r="P34" s="1"/>
      <c r="U34" s="122"/>
      <c r="V34" s="122"/>
      <c r="W34" s="122"/>
      <c r="X34" s="122"/>
    </row>
    <row r="35" spans="1:24" s="6" customFormat="1" ht="15.9" customHeight="1" x14ac:dyDescent="0.25">
      <c r="A35" s="151">
        <v>5.200000000000002</v>
      </c>
      <c r="B35" s="16">
        <v>44.4</v>
      </c>
      <c r="C35" s="16">
        <v>89.9</v>
      </c>
      <c r="D35" s="145">
        <v>95.9</v>
      </c>
      <c r="E35" s="14"/>
      <c r="H35" s="13"/>
      <c r="I35" s="12"/>
      <c r="J35" s="12"/>
      <c r="K35" s="12"/>
      <c r="L35" s="12"/>
      <c r="M35" s="12"/>
      <c r="N35" s="13"/>
      <c r="O35" s="2"/>
      <c r="P35" s="2"/>
      <c r="U35" s="122"/>
      <c r="V35" s="122"/>
      <c r="W35" s="122"/>
      <c r="X35" s="122"/>
    </row>
    <row r="36" spans="1:24" s="6" customFormat="1" ht="15.9" customHeight="1" x14ac:dyDescent="0.25">
      <c r="A36" s="151">
        <v>5.4000000000000021</v>
      </c>
      <c r="B36" s="16">
        <v>35</v>
      </c>
      <c r="C36" s="16">
        <v>86.9</v>
      </c>
      <c r="D36" s="145">
        <v>94.7</v>
      </c>
      <c r="E36" s="14"/>
      <c r="H36" s="13"/>
      <c r="I36" s="12"/>
      <c r="J36" s="12"/>
      <c r="K36" s="12"/>
      <c r="L36" s="12"/>
      <c r="M36" s="12"/>
      <c r="N36" s="13"/>
      <c r="O36" s="2"/>
      <c r="P36" s="2"/>
      <c r="U36" s="122"/>
      <c r="V36" s="122"/>
      <c r="W36" s="122"/>
      <c r="X36" s="122"/>
    </row>
    <row r="37" spans="1:24" ht="15.9" customHeight="1" x14ac:dyDescent="0.25">
      <c r="A37" s="151">
        <v>5.6000000000000023</v>
      </c>
      <c r="B37" s="16">
        <v>25</v>
      </c>
      <c r="C37" s="16">
        <v>83.6</v>
      </c>
      <c r="D37" s="145">
        <v>93.4</v>
      </c>
      <c r="E37" s="5"/>
      <c r="H37" s="1"/>
      <c r="I37" s="12"/>
      <c r="J37" s="12"/>
      <c r="K37" s="12"/>
      <c r="L37" s="12"/>
      <c r="M37" s="12"/>
      <c r="N37" s="1"/>
      <c r="O37" s="1"/>
      <c r="P37" s="1"/>
      <c r="U37" s="122"/>
      <c r="V37" s="122"/>
      <c r="W37" s="122"/>
      <c r="X37" s="122"/>
    </row>
    <row r="38" spans="1:24" ht="15.9" customHeight="1" x14ac:dyDescent="0.25">
      <c r="A38" s="151">
        <v>5.8000000000000025</v>
      </c>
      <c r="B38" s="16">
        <v>16.7</v>
      </c>
      <c r="C38" s="16">
        <v>79.8</v>
      </c>
      <c r="D38" s="145">
        <v>92.1</v>
      </c>
      <c r="E38" s="5"/>
      <c r="F38" s="165"/>
      <c r="G38" s="1"/>
      <c r="H38" s="1"/>
      <c r="I38" s="12"/>
      <c r="J38" s="12"/>
      <c r="K38" s="12"/>
      <c r="L38" s="12"/>
      <c r="M38" s="12"/>
      <c r="N38" s="1"/>
      <c r="O38" s="1"/>
      <c r="P38" s="1"/>
      <c r="U38" s="122"/>
      <c r="V38" s="122"/>
      <c r="W38" s="122"/>
      <c r="X38" s="122"/>
    </row>
    <row r="39" spans="1:24" ht="24" customHeight="1" x14ac:dyDescent="0.25">
      <c r="A39" s="151">
        <v>6.0000000000000027</v>
      </c>
      <c r="B39" s="16">
        <v>10</v>
      </c>
      <c r="C39" s="16">
        <v>74</v>
      </c>
      <c r="D39" s="145">
        <v>90.6</v>
      </c>
      <c r="E39" s="5"/>
      <c r="F39" s="165"/>
      <c r="G39" s="1"/>
      <c r="H39" s="1"/>
      <c r="I39" s="12"/>
      <c r="J39" s="12"/>
      <c r="K39" s="12"/>
      <c r="L39" s="12"/>
      <c r="M39" s="12"/>
      <c r="N39" s="1"/>
      <c r="O39" s="1"/>
      <c r="P39" s="1"/>
      <c r="U39" s="122"/>
      <c r="V39" s="122"/>
      <c r="W39" s="122"/>
      <c r="X39" s="122"/>
    </row>
    <row r="40" spans="1:24" ht="15.9" customHeight="1" x14ac:dyDescent="0.25">
      <c r="A40" s="151">
        <v>6.2000000000000028</v>
      </c>
      <c r="B40" s="16">
        <v>7</v>
      </c>
      <c r="C40" s="16">
        <v>68</v>
      </c>
      <c r="D40" s="145">
        <v>89</v>
      </c>
      <c r="E40" s="5"/>
      <c r="F40" s="165"/>
      <c r="G40" s="1"/>
      <c r="H40" s="1"/>
      <c r="I40" s="12"/>
      <c r="J40" s="12"/>
      <c r="K40" s="12"/>
      <c r="L40" s="12"/>
      <c r="M40" s="12"/>
      <c r="N40" s="1"/>
      <c r="O40" s="1"/>
      <c r="P40" s="1"/>
      <c r="U40" s="122"/>
      <c r="V40" s="122"/>
      <c r="W40" s="122"/>
      <c r="X40" s="122"/>
    </row>
    <row r="41" spans="1:24" ht="15.9" customHeight="1" x14ac:dyDescent="0.25">
      <c r="A41" s="151">
        <v>6.400000000000003</v>
      </c>
      <c r="B41" s="16">
        <v>4.9000000000000004</v>
      </c>
      <c r="C41" s="16">
        <v>62</v>
      </c>
      <c r="D41" s="145">
        <v>87</v>
      </c>
      <c r="E41" s="5"/>
      <c r="F41" s="165"/>
      <c r="G41" s="1"/>
      <c r="H41" s="1"/>
      <c r="I41" s="12"/>
      <c r="J41" s="12"/>
      <c r="K41" s="12"/>
      <c r="L41" s="12"/>
      <c r="M41" s="12"/>
      <c r="N41" s="1"/>
      <c r="O41" s="1"/>
      <c r="P41" s="1"/>
      <c r="U41" s="122"/>
      <c r="V41" s="122"/>
      <c r="W41" s="122"/>
      <c r="X41" s="122"/>
    </row>
    <row r="42" spans="1:24" ht="15.9" customHeight="1" x14ac:dyDescent="0.25">
      <c r="A42" s="151">
        <v>6.6000000000000032</v>
      </c>
      <c r="B42" s="16">
        <v>3.8</v>
      </c>
      <c r="C42" s="16">
        <v>56</v>
      </c>
      <c r="D42" s="145">
        <v>85</v>
      </c>
      <c r="E42" s="5"/>
      <c r="F42" s="165"/>
      <c r="G42" s="1"/>
      <c r="H42" s="1"/>
      <c r="I42" s="12"/>
      <c r="J42" s="12"/>
      <c r="K42" s="12"/>
      <c r="L42" s="12"/>
      <c r="M42" s="12"/>
      <c r="N42" s="1"/>
      <c r="O42" s="1"/>
      <c r="P42" s="1"/>
      <c r="U42" s="122"/>
      <c r="V42" s="122"/>
      <c r="W42" s="122"/>
      <c r="X42" s="122"/>
    </row>
    <row r="43" spans="1:24" ht="15.9" customHeight="1" x14ac:dyDescent="0.25">
      <c r="A43" s="151">
        <v>6.8000000000000034</v>
      </c>
      <c r="B43" s="16">
        <v>3.1</v>
      </c>
      <c r="C43" s="16">
        <v>50</v>
      </c>
      <c r="D43" s="145">
        <v>82.6</v>
      </c>
      <c r="E43" s="5"/>
      <c r="F43" s="165"/>
      <c r="G43" s="1"/>
      <c r="H43" s="1"/>
      <c r="I43" s="12"/>
      <c r="J43" s="12"/>
      <c r="K43" s="12"/>
      <c r="L43" s="12"/>
      <c r="M43" s="12"/>
      <c r="N43" s="1"/>
      <c r="O43" s="1"/>
      <c r="P43" s="1"/>
      <c r="U43" s="122"/>
      <c r="V43" s="122"/>
      <c r="W43" s="122"/>
      <c r="X43" s="122"/>
    </row>
    <row r="44" spans="1:24" ht="24" customHeight="1" x14ac:dyDescent="0.25">
      <c r="A44" s="151">
        <v>7.0000000000000036</v>
      </c>
      <c r="B44" s="16">
        <v>2.5</v>
      </c>
      <c r="C44" s="16">
        <v>43.3</v>
      </c>
      <c r="D44" s="145">
        <v>80</v>
      </c>
      <c r="E44" s="5"/>
      <c r="F44" s="165"/>
      <c r="G44" s="1"/>
      <c r="H44" s="1"/>
      <c r="I44" s="12"/>
      <c r="J44" s="12"/>
      <c r="K44" s="12"/>
      <c r="L44" s="12"/>
      <c r="M44" s="12"/>
      <c r="N44" s="1"/>
      <c r="O44" s="1"/>
      <c r="P44" s="1"/>
      <c r="U44" s="122"/>
      <c r="V44" s="122"/>
      <c r="W44" s="122"/>
      <c r="X44" s="122"/>
    </row>
    <row r="45" spans="1:24" ht="15.9" customHeight="1" x14ac:dyDescent="0.25">
      <c r="A45" s="151">
        <v>7.2000000000000037</v>
      </c>
      <c r="B45" s="16">
        <v>2.4</v>
      </c>
      <c r="C45" s="16">
        <v>36.700000000000003</v>
      </c>
      <c r="D45" s="145">
        <v>76</v>
      </c>
      <c r="E45" s="5"/>
      <c r="F45" s="165"/>
      <c r="G45" s="1"/>
      <c r="H45" s="1"/>
      <c r="I45" s="12"/>
      <c r="J45" s="12"/>
      <c r="K45" s="12"/>
      <c r="L45" s="12"/>
      <c r="M45" s="12"/>
      <c r="N45" s="1"/>
      <c r="O45" s="1"/>
      <c r="P45" s="1"/>
      <c r="U45" s="122"/>
      <c r="V45" s="122"/>
      <c r="W45" s="122"/>
      <c r="X45" s="122"/>
    </row>
    <row r="46" spans="1:24" ht="15.9" customHeight="1" x14ac:dyDescent="0.25">
      <c r="A46" s="151">
        <v>7.4000000000000039</v>
      </c>
      <c r="B46" s="16">
        <v>2.2999999999999998</v>
      </c>
      <c r="C46" s="16">
        <v>30</v>
      </c>
      <c r="D46" s="145">
        <v>72</v>
      </c>
      <c r="E46" s="5"/>
      <c r="F46" s="165"/>
      <c r="G46" s="1"/>
      <c r="H46" s="1"/>
      <c r="I46" s="12"/>
      <c r="J46" s="12"/>
      <c r="K46" s="12"/>
      <c r="L46" s="12"/>
      <c r="M46" s="12"/>
      <c r="N46" s="1"/>
      <c r="O46" s="1"/>
      <c r="P46" s="1"/>
      <c r="U46" s="122"/>
      <c r="V46" s="122"/>
      <c r="W46" s="122"/>
      <c r="X46" s="122"/>
    </row>
    <row r="47" spans="1:24" ht="15.9" customHeight="1" x14ac:dyDescent="0.25">
      <c r="A47" s="151">
        <v>7.6000000000000041</v>
      </c>
      <c r="B47" s="16">
        <v>2.2000000000000002</v>
      </c>
      <c r="C47" s="16">
        <v>25</v>
      </c>
      <c r="D47" s="145">
        <v>68</v>
      </c>
      <c r="E47" s="165"/>
      <c r="F47" s="165"/>
      <c r="G47" s="1"/>
      <c r="H47" s="1"/>
      <c r="I47" s="12"/>
      <c r="J47" s="12"/>
      <c r="K47" s="12"/>
      <c r="L47" s="12"/>
      <c r="M47" s="12"/>
      <c r="N47" s="1"/>
      <c r="O47" s="1"/>
      <c r="P47" s="1"/>
      <c r="U47" s="122"/>
      <c r="V47" s="122"/>
      <c r="W47" s="122"/>
      <c r="X47" s="122"/>
    </row>
    <row r="48" spans="1:24" ht="15.9" customHeight="1" x14ac:dyDescent="0.25">
      <c r="A48" s="151">
        <v>7.8000000000000043</v>
      </c>
      <c r="B48" s="16">
        <v>2.1</v>
      </c>
      <c r="C48" s="16">
        <v>20</v>
      </c>
      <c r="D48" s="145">
        <v>64</v>
      </c>
      <c r="E48" s="165"/>
      <c r="F48" s="165"/>
      <c r="G48" s="1"/>
      <c r="H48" s="1"/>
      <c r="I48" s="12"/>
      <c r="J48" s="12"/>
      <c r="K48" s="12"/>
      <c r="L48" s="12"/>
      <c r="M48" s="12"/>
      <c r="N48" s="1"/>
      <c r="O48" s="1"/>
      <c r="P48" s="1"/>
      <c r="U48" s="122"/>
      <c r="V48" s="122"/>
      <c r="W48" s="122"/>
      <c r="X48" s="122"/>
    </row>
    <row r="49" spans="1:24" ht="24" customHeight="1" x14ac:dyDescent="0.25">
      <c r="A49" s="151">
        <v>8.0000000000000036</v>
      </c>
      <c r="B49" s="16">
        <v>2</v>
      </c>
      <c r="C49" s="16">
        <v>15</v>
      </c>
      <c r="D49" s="145">
        <v>60</v>
      </c>
      <c r="E49" s="165"/>
      <c r="F49" s="165"/>
      <c r="G49" s="1"/>
      <c r="H49" s="1"/>
      <c r="I49" s="12"/>
      <c r="J49" s="12"/>
      <c r="K49" s="12"/>
      <c r="L49" s="12"/>
      <c r="M49" s="12"/>
      <c r="N49" s="1"/>
      <c r="O49" s="1"/>
      <c r="P49" s="1"/>
      <c r="U49" s="122"/>
      <c r="V49" s="122"/>
      <c r="W49" s="122"/>
      <c r="X49" s="122"/>
    </row>
    <row r="50" spans="1:24" ht="15.9" customHeight="1" x14ac:dyDescent="0.25">
      <c r="A50" s="151">
        <v>8.2000000000000028</v>
      </c>
      <c r="B50" s="16">
        <v>2</v>
      </c>
      <c r="C50" s="16">
        <v>10</v>
      </c>
      <c r="D50" s="145">
        <v>55.3</v>
      </c>
      <c r="E50" s="165"/>
      <c r="F50" s="165"/>
      <c r="G50" s="1"/>
      <c r="H50" s="1"/>
      <c r="I50" s="12"/>
      <c r="J50" s="12"/>
      <c r="K50" s="12"/>
      <c r="L50" s="12"/>
      <c r="M50" s="12"/>
      <c r="N50" s="1"/>
      <c r="O50" s="1"/>
      <c r="P50" s="1"/>
      <c r="U50" s="122"/>
      <c r="V50" s="122"/>
      <c r="W50" s="122"/>
      <c r="X50" s="122"/>
    </row>
    <row r="51" spans="1:24" ht="15.9" customHeight="1" x14ac:dyDescent="0.25">
      <c r="A51" s="151">
        <v>8.4000000000000021</v>
      </c>
      <c r="B51" s="16">
        <v>2</v>
      </c>
      <c r="C51" s="16">
        <v>7.2</v>
      </c>
      <c r="D51" s="145">
        <v>50.6</v>
      </c>
      <c r="E51" s="165"/>
      <c r="F51" s="165"/>
      <c r="G51" s="1"/>
      <c r="H51" s="1"/>
      <c r="I51" s="12"/>
      <c r="J51" s="12"/>
      <c r="K51" s="12"/>
      <c r="L51" s="12"/>
      <c r="M51" s="12"/>
      <c r="N51" s="1"/>
      <c r="O51" s="1"/>
      <c r="P51" s="1"/>
      <c r="U51" s="122"/>
      <c r="V51" s="122"/>
      <c r="W51" s="122"/>
      <c r="X51" s="122"/>
    </row>
    <row r="52" spans="1:24" ht="15.9" customHeight="1" x14ac:dyDescent="0.25">
      <c r="A52" s="151">
        <v>8.6000000000000014</v>
      </c>
      <c r="B52" s="16">
        <v>1.9</v>
      </c>
      <c r="C52" s="16">
        <v>5.9</v>
      </c>
      <c r="D52" s="145">
        <v>45.9</v>
      </c>
      <c r="E52" s="165"/>
      <c r="F52" s="165"/>
      <c r="G52" s="1"/>
      <c r="H52" s="1"/>
      <c r="I52" s="12"/>
      <c r="J52" s="12"/>
      <c r="K52" s="12"/>
      <c r="L52" s="12"/>
      <c r="M52" s="12"/>
      <c r="N52" s="1"/>
      <c r="O52" s="1"/>
      <c r="P52" s="1"/>
      <c r="U52" s="122"/>
      <c r="V52" s="122"/>
      <c r="W52" s="122"/>
      <c r="X52" s="122"/>
    </row>
    <row r="53" spans="1:24" ht="15.9" customHeight="1" x14ac:dyDescent="0.25">
      <c r="A53" s="151">
        <v>8.8000000000000007</v>
      </c>
      <c r="B53" s="16">
        <v>1.9</v>
      </c>
      <c r="C53" s="16">
        <v>5.0999999999999996</v>
      </c>
      <c r="D53" s="145">
        <v>41.2</v>
      </c>
      <c r="E53" s="1"/>
      <c r="F53" s="1"/>
      <c r="G53" s="1"/>
      <c r="H53" s="1"/>
      <c r="I53" s="12"/>
      <c r="J53" s="12"/>
      <c r="K53" s="12"/>
      <c r="L53" s="12"/>
      <c r="M53" s="12"/>
      <c r="N53" s="1"/>
      <c r="O53" s="1"/>
      <c r="P53" s="1"/>
      <c r="U53" s="122"/>
      <c r="V53" s="122"/>
      <c r="W53" s="122"/>
      <c r="X53" s="122"/>
    </row>
    <row r="54" spans="1:24" ht="24" customHeight="1" x14ac:dyDescent="0.25">
      <c r="A54" s="151">
        <v>9</v>
      </c>
      <c r="B54" s="16">
        <v>1.9</v>
      </c>
      <c r="C54" s="16">
        <v>4.9000000000000004</v>
      </c>
      <c r="D54" s="145">
        <v>36.799999999999997</v>
      </c>
      <c r="E54" s="1"/>
      <c r="F54" s="1"/>
      <c r="G54" s="1"/>
      <c r="H54" s="1"/>
      <c r="I54" s="12"/>
      <c r="J54" s="12"/>
      <c r="K54" s="12"/>
      <c r="L54" s="12"/>
      <c r="M54" s="12"/>
      <c r="N54" s="1"/>
      <c r="O54" s="1"/>
      <c r="P54" s="1"/>
      <c r="U54" s="122"/>
      <c r="V54" s="122"/>
      <c r="W54" s="122"/>
      <c r="X54" s="122"/>
    </row>
    <row r="55" spans="1:24" ht="15.9" customHeight="1" x14ac:dyDescent="0.25">
      <c r="A55" s="151">
        <v>9.1999999999999993</v>
      </c>
      <c r="B55" s="16">
        <v>1.9</v>
      </c>
      <c r="C55" s="16">
        <v>4.9000000000000004</v>
      </c>
      <c r="D55" s="145">
        <v>32.6</v>
      </c>
      <c r="E55" s="1"/>
      <c r="F55" s="1"/>
      <c r="G55" s="1"/>
      <c r="H55" s="1"/>
      <c r="I55" s="174"/>
      <c r="J55" s="174"/>
      <c r="K55" s="174"/>
      <c r="L55" s="175"/>
      <c r="M55" s="176"/>
      <c r="N55" s="174"/>
      <c r="O55" s="166"/>
      <c r="P55" s="174"/>
      <c r="U55" s="122"/>
      <c r="V55" s="122"/>
      <c r="W55" s="122"/>
      <c r="X55" s="122"/>
    </row>
    <row r="56" spans="1:24" ht="15.9" customHeight="1" x14ac:dyDescent="0.25">
      <c r="A56" s="151">
        <v>9.3999999999999986</v>
      </c>
      <c r="B56" s="16">
        <v>1.8</v>
      </c>
      <c r="C56" s="16">
        <v>4.8</v>
      </c>
      <c r="D56" s="145">
        <v>28.4</v>
      </c>
      <c r="E56" s="1"/>
      <c r="F56" s="1"/>
      <c r="G56" s="1"/>
      <c r="H56" s="1"/>
      <c r="I56" s="174"/>
      <c r="J56" s="174"/>
      <c r="K56" s="174"/>
      <c r="L56" s="175"/>
      <c r="M56" s="176"/>
      <c r="N56" s="174"/>
      <c r="O56" s="166"/>
      <c r="P56" s="174"/>
      <c r="U56" s="122"/>
      <c r="V56" s="122"/>
      <c r="W56" s="122"/>
      <c r="X56" s="122"/>
    </row>
    <row r="57" spans="1:24" ht="15.9" customHeight="1" x14ac:dyDescent="0.25">
      <c r="A57" s="151">
        <v>9.5999999999999979</v>
      </c>
      <c r="B57" s="16">
        <v>1.8</v>
      </c>
      <c r="C57" s="16">
        <v>4.8</v>
      </c>
      <c r="D57" s="145">
        <v>24.2</v>
      </c>
      <c r="E57" s="1"/>
      <c r="F57" s="1"/>
      <c r="G57" s="1"/>
      <c r="H57" s="1"/>
      <c r="I57" s="124"/>
      <c r="J57" s="124"/>
      <c r="K57" s="124"/>
      <c r="L57" s="124"/>
      <c r="M57" s="125"/>
      <c r="N57" s="13"/>
      <c r="O57" s="125"/>
      <c r="P57" s="124"/>
      <c r="U57" s="122"/>
      <c r="V57" s="122"/>
      <c r="W57" s="122"/>
      <c r="X57" s="122"/>
    </row>
    <row r="58" spans="1:24" ht="15.9" customHeight="1" x14ac:dyDescent="0.25">
      <c r="A58" s="151">
        <v>9.7999999999999972</v>
      </c>
      <c r="B58" s="16">
        <v>1.8</v>
      </c>
      <c r="C58" s="16">
        <v>4.7</v>
      </c>
      <c r="D58" s="145">
        <v>20</v>
      </c>
      <c r="E58" s="1"/>
      <c r="F58" s="1"/>
      <c r="G58" s="1"/>
      <c r="H58" s="1"/>
      <c r="I58" s="124"/>
      <c r="J58" s="124"/>
      <c r="K58" s="124"/>
      <c r="L58" s="124"/>
      <c r="M58" s="125"/>
      <c r="N58" s="13"/>
      <c r="O58" s="125"/>
      <c r="P58" s="124"/>
      <c r="U58" s="122"/>
      <c r="V58" s="122"/>
      <c r="W58" s="122"/>
      <c r="X58" s="122"/>
    </row>
    <row r="59" spans="1:24" ht="24" customHeight="1" x14ac:dyDescent="0.25">
      <c r="A59" s="151">
        <v>9.9999999999999964</v>
      </c>
      <c r="B59" s="16">
        <v>1.8</v>
      </c>
      <c r="C59" s="16">
        <v>4.7</v>
      </c>
      <c r="D59" s="145">
        <v>16.8</v>
      </c>
      <c r="E59" s="1"/>
      <c r="F59" s="1"/>
      <c r="G59" s="1"/>
      <c r="H59" s="1"/>
      <c r="I59" s="124"/>
      <c r="J59" s="124"/>
      <c r="K59" s="124"/>
      <c r="L59" s="124"/>
      <c r="M59" s="125"/>
      <c r="N59" s="13"/>
      <c r="O59" s="125"/>
      <c r="P59" s="124"/>
      <c r="U59" s="122"/>
      <c r="V59" s="122"/>
      <c r="W59" s="122"/>
      <c r="X59" s="122"/>
    </row>
    <row r="60" spans="1:24" ht="15.9" customHeight="1" x14ac:dyDescent="0.25">
      <c r="A60" s="151">
        <v>10.199999999999996</v>
      </c>
      <c r="B60" s="16">
        <v>1.7</v>
      </c>
      <c r="C60" s="16">
        <v>4.5999999999999996</v>
      </c>
      <c r="D60" s="145">
        <v>13.9</v>
      </c>
      <c r="E60" s="1"/>
      <c r="F60" s="1"/>
      <c r="G60" s="1"/>
      <c r="H60" s="1"/>
      <c r="I60" s="126"/>
      <c r="J60" s="124"/>
      <c r="K60" s="124"/>
      <c r="L60" s="124"/>
      <c r="M60" s="125"/>
      <c r="N60" s="13"/>
      <c r="O60" s="125"/>
      <c r="P60" s="124"/>
      <c r="U60" s="122"/>
      <c r="V60" s="122"/>
      <c r="W60" s="122"/>
      <c r="X60" s="122"/>
    </row>
    <row r="61" spans="1:24" ht="15.9" customHeight="1" x14ac:dyDescent="0.25">
      <c r="A61" s="151">
        <v>10.399999999999995</v>
      </c>
      <c r="B61" s="16">
        <v>1.7</v>
      </c>
      <c r="C61" s="16">
        <v>4.5999999999999996</v>
      </c>
      <c r="D61" s="145">
        <v>11.4</v>
      </c>
      <c r="E61" s="1"/>
      <c r="F61" s="1"/>
      <c r="G61" s="1"/>
      <c r="H61" s="1"/>
      <c r="I61" s="124"/>
      <c r="J61" s="124"/>
      <c r="K61" s="124"/>
      <c r="L61" s="124"/>
      <c r="M61" s="125"/>
      <c r="N61" s="13"/>
      <c r="O61" s="125"/>
      <c r="P61" s="124"/>
      <c r="U61" s="122"/>
      <c r="V61" s="122"/>
      <c r="W61" s="122"/>
      <c r="X61" s="122"/>
    </row>
    <row r="62" spans="1:24" ht="15.9" customHeight="1" x14ac:dyDescent="0.25">
      <c r="A62" s="151">
        <v>10.599999999999994</v>
      </c>
      <c r="B62" s="16">
        <v>1.7</v>
      </c>
      <c r="C62" s="16">
        <v>4.5</v>
      </c>
      <c r="D62" s="145">
        <v>9.5</v>
      </c>
      <c r="E62" s="1"/>
      <c r="F62" s="1"/>
      <c r="G62" s="1"/>
      <c r="H62" s="1"/>
      <c r="I62" s="124"/>
      <c r="J62" s="124"/>
      <c r="K62" s="124"/>
      <c r="L62" s="124"/>
      <c r="M62" s="125"/>
      <c r="N62" s="13"/>
      <c r="O62" s="125"/>
      <c r="P62" s="124"/>
      <c r="U62" s="122"/>
      <c r="V62" s="122"/>
      <c r="W62" s="122"/>
      <c r="X62" s="122"/>
    </row>
    <row r="63" spans="1:24" ht="15.9" customHeight="1" x14ac:dyDescent="0.25">
      <c r="A63" s="151">
        <v>10.799999999999994</v>
      </c>
      <c r="B63" s="16">
        <v>1.7</v>
      </c>
      <c r="C63" s="16">
        <v>4.4000000000000004</v>
      </c>
      <c r="D63" s="145">
        <v>8.5</v>
      </c>
      <c r="F63" s="1"/>
      <c r="G63" s="1"/>
      <c r="H63" s="1"/>
      <c r="I63" s="12"/>
      <c r="J63" s="12"/>
      <c r="K63" s="12"/>
      <c r="L63" s="12"/>
      <c r="M63" s="12"/>
      <c r="N63" s="1"/>
      <c r="O63" s="1"/>
      <c r="P63" s="1"/>
      <c r="U63" s="122"/>
      <c r="V63" s="122"/>
      <c r="W63" s="122"/>
      <c r="X63" s="122"/>
    </row>
    <row r="64" spans="1:24" ht="24" customHeight="1" x14ac:dyDescent="0.25">
      <c r="A64" s="151">
        <v>10.999999999999993</v>
      </c>
      <c r="B64" s="16">
        <v>1.6</v>
      </c>
      <c r="C64" s="16">
        <v>4.4000000000000004</v>
      </c>
      <c r="D64" s="145">
        <v>7.7</v>
      </c>
      <c r="E64" s="1"/>
      <c r="F64" s="1"/>
      <c r="G64" s="1"/>
      <c r="H64" s="1"/>
      <c r="I64" s="12"/>
      <c r="J64" s="12"/>
      <c r="K64" s="12"/>
      <c r="L64" s="12"/>
      <c r="M64" s="12"/>
      <c r="N64" s="1"/>
      <c r="O64" s="1"/>
      <c r="P64" s="1"/>
      <c r="U64" s="122"/>
      <c r="V64" s="122"/>
      <c r="W64" s="122"/>
      <c r="X64" s="122"/>
    </row>
    <row r="65" spans="1:24" ht="15.9" customHeight="1" x14ac:dyDescent="0.25">
      <c r="A65" s="151">
        <v>11.199999999999992</v>
      </c>
      <c r="B65" s="16">
        <v>1.6</v>
      </c>
      <c r="C65" s="16">
        <v>4.3</v>
      </c>
      <c r="D65" s="145">
        <v>7.3</v>
      </c>
      <c r="E65" s="1"/>
      <c r="F65" s="1"/>
      <c r="G65" s="1"/>
      <c r="H65" s="1"/>
      <c r="I65" s="12"/>
      <c r="J65" s="12"/>
      <c r="K65" s="12"/>
      <c r="L65" s="12"/>
      <c r="M65" s="12"/>
      <c r="N65" s="1"/>
      <c r="O65" s="1"/>
      <c r="P65" s="1"/>
      <c r="U65" s="122"/>
      <c r="V65" s="122"/>
      <c r="W65" s="122"/>
      <c r="X65" s="122"/>
    </row>
    <row r="66" spans="1:24" ht="15.9" customHeight="1" x14ac:dyDescent="0.25">
      <c r="A66" s="151">
        <v>11.399999999999991</v>
      </c>
      <c r="B66" s="16">
        <v>1.6</v>
      </c>
      <c r="C66" s="16">
        <v>4.3</v>
      </c>
      <c r="D66" s="145">
        <v>6.9</v>
      </c>
      <c r="E66" s="1"/>
      <c r="F66" s="1"/>
      <c r="G66" s="1"/>
      <c r="H66" s="1"/>
      <c r="I66" s="12"/>
      <c r="J66" s="12"/>
      <c r="K66" s="12"/>
      <c r="L66" s="12"/>
      <c r="M66" s="12"/>
      <c r="N66" s="1"/>
      <c r="O66" s="1"/>
      <c r="P66" s="1"/>
      <c r="U66" s="122"/>
      <c r="V66" s="122"/>
      <c r="W66" s="122"/>
      <c r="X66" s="122"/>
    </row>
    <row r="67" spans="1:24" ht="15.9" customHeight="1" x14ac:dyDescent="0.25">
      <c r="A67" s="151">
        <v>11.599999999999991</v>
      </c>
      <c r="B67" s="16">
        <v>1.6</v>
      </c>
      <c r="C67" s="16">
        <v>4.2</v>
      </c>
      <c r="D67" s="145">
        <v>6.6</v>
      </c>
      <c r="E67" s="1"/>
      <c r="F67" s="1"/>
      <c r="G67" s="1"/>
      <c r="H67" s="1"/>
      <c r="I67" s="12"/>
      <c r="J67" s="12"/>
      <c r="K67" s="12"/>
      <c r="L67" s="12"/>
      <c r="M67" s="12"/>
      <c r="N67" s="1"/>
      <c r="O67" s="1"/>
      <c r="P67" s="1"/>
      <c r="U67" s="122"/>
      <c r="V67" s="122"/>
      <c r="W67" s="122"/>
      <c r="X67" s="122"/>
    </row>
    <row r="68" spans="1:24" ht="15.9" customHeight="1" x14ac:dyDescent="0.25">
      <c r="A68" s="151">
        <v>11.79999999999999</v>
      </c>
      <c r="B68" s="16">
        <v>1.5</v>
      </c>
      <c r="C68" s="16">
        <v>4.2</v>
      </c>
      <c r="D68" s="145">
        <v>6.3</v>
      </c>
      <c r="E68" s="1"/>
      <c r="F68" s="1"/>
      <c r="G68" s="1"/>
      <c r="H68" s="1"/>
      <c r="I68" s="12"/>
      <c r="J68" s="12"/>
      <c r="K68" s="12"/>
      <c r="L68" s="12"/>
      <c r="M68" s="12"/>
      <c r="N68" s="1"/>
      <c r="O68" s="1"/>
      <c r="P68" s="1"/>
      <c r="U68" s="122"/>
      <c r="V68" s="122"/>
      <c r="W68" s="122"/>
      <c r="X68" s="122"/>
    </row>
    <row r="69" spans="1:24" ht="24" customHeight="1" x14ac:dyDescent="0.25">
      <c r="A69" s="151">
        <v>11.999999999999989</v>
      </c>
      <c r="B69" s="16">
        <v>1.5</v>
      </c>
      <c r="C69" s="16">
        <v>4.0999999999999996</v>
      </c>
      <c r="D69" s="145">
        <v>6.07</v>
      </c>
      <c r="E69" s="1"/>
      <c r="F69" s="1"/>
      <c r="G69" s="1"/>
      <c r="H69" s="1"/>
      <c r="I69" s="12"/>
      <c r="J69" s="12"/>
      <c r="K69" s="12"/>
      <c r="L69" s="12"/>
      <c r="M69" s="12"/>
      <c r="N69" s="1"/>
      <c r="O69" s="1"/>
      <c r="P69" s="1"/>
      <c r="U69" s="122"/>
      <c r="V69" s="122"/>
      <c r="W69" s="122"/>
      <c r="X69" s="122"/>
    </row>
    <row r="70" spans="1:24" ht="15.9" customHeight="1" x14ac:dyDescent="0.25">
      <c r="A70" s="151">
        <v>12.199999999999989</v>
      </c>
      <c r="B70" s="16">
        <v>1.5</v>
      </c>
      <c r="C70" s="16">
        <v>4.0999999999999996</v>
      </c>
      <c r="D70" s="145">
        <v>6</v>
      </c>
      <c r="E70" s="1"/>
      <c r="F70" s="1"/>
      <c r="G70" s="1"/>
      <c r="H70" s="1"/>
      <c r="I70" s="12"/>
      <c r="J70" s="12"/>
      <c r="K70" s="12"/>
      <c r="L70" s="12"/>
      <c r="M70" s="12"/>
      <c r="N70" s="1"/>
      <c r="O70" s="1"/>
      <c r="P70" s="1"/>
      <c r="U70" s="122"/>
      <c r="V70" s="122"/>
      <c r="W70" s="122"/>
      <c r="X70" s="122"/>
    </row>
    <row r="71" spans="1:24" ht="15.9" customHeight="1" x14ac:dyDescent="0.25">
      <c r="A71" s="151">
        <v>12.399999999999988</v>
      </c>
      <c r="B71" s="16">
        <v>1.5</v>
      </c>
      <c r="C71" s="16">
        <v>4</v>
      </c>
      <c r="D71" s="145">
        <v>5.9</v>
      </c>
      <c r="E71" s="1"/>
      <c r="F71" s="1"/>
      <c r="G71" s="1"/>
      <c r="H71" s="1"/>
      <c r="I71" s="12"/>
      <c r="J71" s="12"/>
      <c r="K71" s="12"/>
      <c r="L71" s="12"/>
      <c r="M71" s="12"/>
      <c r="N71" s="1"/>
      <c r="O71" s="1"/>
      <c r="P71" s="1"/>
      <c r="U71" s="122"/>
      <c r="V71" s="122"/>
      <c r="W71" s="122"/>
      <c r="X71" s="122"/>
    </row>
    <row r="72" spans="1:24" ht="15.9" customHeight="1" x14ac:dyDescent="0.25">
      <c r="A72" s="151">
        <v>12.599999999999987</v>
      </c>
      <c r="B72" s="16">
        <v>1.4</v>
      </c>
      <c r="C72" s="16">
        <v>3.9</v>
      </c>
      <c r="D72" s="145">
        <v>5.9</v>
      </c>
      <c r="E72" s="1"/>
      <c r="F72" s="1"/>
      <c r="G72" s="1"/>
      <c r="H72" s="1"/>
      <c r="I72" s="12"/>
      <c r="J72" s="12"/>
      <c r="K72" s="12"/>
      <c r="L72" s="12"/>
      <c r="M72" s="12"/>
      <c r="N72" s="1"/>
      <c r="O72" s="1"/>
      <c r="P72" s="1"/>
      <c r="U72" s="122"/>
      <c r="V72" s="122"/>
      <c r="W72" s="122"/>
      <c r="X72" s="122"/>
    </row>
    <row r="73" spans="1:24" ht="15.9" customHeight="1" x14ac:dyDescent="0.25">
      <c r="A73" s="151">
        <v>12.799999999999986</v>
      </c>
      <c r="B73" s="16">
        <v>1.4</v>
      </c>
      <c r="C73" s="16">
        <v>3.9</v>
      </c>
      <c r="D73" s="145">
        <v>5.8</v>
      </c>
      <c r="E73" s="1"/>
      <c r="F73" s="1"/>
      <c r="G73" s="1"/>
      <c r="H73" s="1"/>
      <c r="I73" s="12"/>
      <c r="J73" s="12"/>
      <c r="K73" s="12"/>
      <c r="L73" s="12"/>
      <c r="M73" s="12"/>
      <c r="N73" s="1"/>
      <c r="O73" s="1"/>
      <c r="P73" s="1"/>
      <c r="U73" s="122"/>
      <c r="V73" s="122"/>
      <c r="W73" s="122"/>
      <c r="X73" s="122"/>
    </row>
    <row r="74" spans="1:24" ht="24" customHeight="1" x14ac:dyDescent="0.25">
      <c r="A74" s="151">
        <v>12.999999999999986</v>
      </c>
      <c r="B74" s="16">
        <v>1.4</v>
      </c>
      <c r="C74" s="16">
        <v>3.8</v>
      </c>
      <c r="D74" s="145">
        <v>5.8</v>
      </c>
      <c r="E74" s="1"/>
      <c r="F74" s="1"/>
      <c r="G74" s="1"/>
      <c r="H74" s="1"/>
      <c r="I74" s="12"/>
      <c r="J74" s="12"/>
      <c r="K74" s="12"/>
      <c r="L74" s="12"/>
      <c r="M74" s="12"/>
      <c r="N74" s="1"/>
      <c r="O74" s="1"/>
      <c r="P74" s="1"/>
      <c r="U74" s="122"/>
      <c r="V74" s="122"/>
      <c r="W74" s="122"/>
      <c r="X74" s="122"/>
    </row>
    <row r="75" spans="1:24" ht="15.9" customHeight="1" x14ac:dyDescent="0.25">
      <c r="A75" s="151">
        <v>13.199999999999985</v>
      </c>
      <c r="B75" s="16">
        <v>1.4</v>
      </c>
      <c r="C75" s="16">
        <v>3.8</v>
      </c>
      <c r="D75" s="145">
        <v>5.7</v>
      </c>
      <c r="E75" s="1"/>
      <c r="F75" s="1"/>
      <c r="G75" s="1"/>
      <c r="H75" s="1"/>
      <c r="I75" s="12"/>
      <c r="J75" s="12"/>
      <c r="K75" s="12"/>
      <c r="L75" s="12"/>
      <c r="M75" s="12"/>
      <c r="N75" s="1"/>
      <c r="O75" s="1"/>
      <c r="P75" s="1"/>
      <c r="U75" s="122"/>
      <c r="V75" s="122"/>
      <c r="W75" s="122"/>
      <c r="X75" s="122"/>
    </row>
    <row r="76" spans="1:24" ht="15.9" customHeight="1" x14ac:dyDescent="0.25">
      <c r="A76" s="151">
        <v>13.399999999999984</v>
      </c>
      <c r="B76" s="16">
        <v>1.3</v>
      </c>
      <c r="C76" s="16">
        <v>3.7</v>
      </c>
      <c r="D76" s="145">
        <v>5.7</v>
      </c>
      <c r="E76" s="1"/>
      <c r="F76" s="1"/>
      <c r="G76" s="1"/>
      <c r="H76" s="1"/>
      <c r="I76" s="12"/>
      <c r="J76" s="12"/>
      <c r="K76" s="12"/>
      <c r="L76" s="12"/>
      <c r="M76" s="12"/>
      <c r="N76" s="1"/>
      <c r="O76" s="1"/>
      <c r="P76" s="1"/>
      <c r="U76" s="122"/>
      <c r="V76" s="122"/>
      <c r="W76" s="122"/>
      <c r="X76" s="122"/>
    </row>
    <row r="77" spans="1:24" ht="15.9" customHeight="1" x14ac:dyDescent="0.25">
      <c r="A77" s="151">
        <v>13.599999999999984</v>
      </c>
      <c r="B77" s="16">
        <v>1.3</v>
      </c>
      <c r="C77" s="16">
        <v>3.7</v>
      </c>
      <c r="D77" s="145">
        <v>5.6</v>
      </c>
      <c r="E77" s="1"/>
      <c r="F77" s="1"/>
      <c r="G77" s="1"/>
      <c r="H77" s="1"/>
      <c r="I77" s="12"/>
      <c r="J77" s="12"/>
      <c r="K77" s="12"/>
      <c r="L77" s="12"/>
      <c r="M77" s="12"/>
      <c r="N77" s="1"/>
      <c r="O77" s="1"/>
      <c r="P77" s="1"/>
      <c r="U77" s="122"/>
      <c r="V77" s="122"/>
      <c r="W77" s="122"/>
      <c r="X77" s="122"/>
    </row>
    <row r="78" spans="1:24" ht="15.9" customHeight="1" x14ac:dyDescent="0.25">
      <c r="A78" s="151">
        <v>13.799999999999983</v>
      </c>
      <c r="B78" s="16">
        <v>1.3</v>
      </c>
      <c r="C78" s="16">
        <v>3.6</v>
      </c>
      <c r="D78" s="145">
        <v>5.6</v>
      </c>
      <c r="E78" s="1"/>
      <c r="F78" s="1"/>
      <c r="G78" s="1"/>
      <c r="H78" s="1"/>
      <c r="I78" s="12"/>
      <c r="J78" s="12"/>
      <c r="K78" s="12"/>
      <c r="L78" s="12"/>
      <c r="M78" s="12"/>
      <c r="N78" s="1"/>
      <c r="O78" s="1"/>
      <c r="P78" s="1"/>
      <c r="U78" s="122"/>
      <c r="V78" s="122"/>
      <c r="W78" s="122"/>
      <c r="X78" s="122"/>
    </row>
    <row r="79" spans="1:24" ht="24" customHeight="1" x14ac:dyDescent="0.25">
      <c r="A79" s="151">
        <v>13.999999999999982</v>
      </c>
      <c r="B79" s="16">
        <v>1.3</v>
      </c>
      <c r="C79" s="16">
        <v>3.6</v>
      </c>
      <c r="D79" s="145">
        <v>5.5</v>
      </c>
      <c r="E79" s="1"/>
      <c r="F79" s="1"/>
      <c r="G79" s="1"/>
      <c r="H79" s="1"/>
      <c r="I79" s="12"/>
      <c r="J79" s="12"/>
      <c r="K79" s="12"/>
      <c r="L79" s="12"/>
      <c r="M79" s="12"/>
      <c r="N79" s="1"/>
      <c r="O79" s="1"/>
      <c r="P79" s="1"/>
      <c r="U79" s="122"/>
      <c r="V79" s="122"/>
      <c r="W79" s="122"/>
      <c r="X79" s="122"/>
    </row>
    <row r="80" spans="1:24" ht="15.9" customHeight="1" x14ac:dyDescent="0.25">
      <c r="A80" s="151">
        <v>14.199999999999982</v>
      </c>
      <c r="B80" s="16">
        <v>1.2</v>
      </c>
      <c r="C80" s="16">
        <v>3.5</v>
      </c>
      <c r="D80" s="145">
        <v>5.5</v>
      </c>
      <c r="E80" s="1"/>
      <c r="F80" s="1"/>
      <c r="G80" s="1"/>
      <c r="H80" s="1"/>
      <c r="I80" s="12"/>
      <c r="J80" s="12"/>
      <c r="K80" s="12"/>
      <c r="L80" s="12"/>
      <c r="M80" s="12"/>
      <c r="N80" s="1"/>
      <c r="O80" s="1"/>
      <c r="P80" s="1"/>
      <c r="U80" s="122"/>
      <c r="V80" s="122"/>
      <c r="W80" s="122"/>
      <c r="X80" s="122"/>
    </row>
    <row r="81" spans="1:24" ht="15.9" customHeight="1" x14ac:dyDescent="0.25">
      <c r="A81" s="151">
        <v>14.399999999999981</v>
      </c>
      <c r="B81" s="16">
        <v>1.2</v>
      </c>
      <c r="C81" s="16">
        <v>3.4</v>
      </c>
      <c r="D81" s="145">
        <v>5.4</v>
      </c>
      <c r="E81" s="1"/>
      <c r="F81" s="1"/>
      <c r="G81" s="1"/>
      <c r="H81" s="1"/>
      <c r="I81" s="12"/>
      <c r="J81" s="12"/>
      <c r="K81" s="12"/>
      <c r="L81" s="12"/>
      <c r="M81" s="12"/>
      <c r="N81" s="1"/>
      <c r="O81" s="1"/>
      <c r="P81" s="1"/>
      <c r="U81" s="122"/>
      <c r="V81" s="122"/>
      <c r="W81" s="122"/>
      <c r="X81" s="122"/>
    </row>
    <row r="82" spans="1:24" ht="15.9" customHeight="1" x14ac:dyDescent="0.25">
      <c r="A82" s="151">
        <v>14.59999999999998</v>
      </c>
      <c r="B82" s="16">
        <v>1.2</v>
      </c>
      <c r="C82" s="16">
        <v>3.4</v>
      </c>
      <c r="D82" s="145">
        <v>5.4</v>
      </c>
      <c r="E82" s="1"/>
      <c r="F82" s="1"/>
      <c r="G82" s="1"/>
      <c r="H82" s="1"/>
      <c r="I82" s="12"/>
      <c r="J82" s="12"/>
      <c r="K82" s="12"/>
      <c r="L82" s="12"/>
      <c r="M82" s="12"/>
      <c r="N82" s="1"/>
      <c r="O82" s="1"/>
      <c r="P82" s="1"/>
      <c r="U82" s="122"/>
      <c r="V82" s="122"/>
      <c r="W82" s="122"/>
      <c r="X82" s="122"/>
    </row>
    <row r="83" spans="1:24" ht="15.9" customHeight="1" x14ac:dyDescent="0.25">
      <c r="A83" s="151">
        <v>14.799999999999979</v>
      </c>
      <c r="B83" s="16">
        <v>1.2</v>
      </c>
      <c r="C83" s="16">
        <v>3.3</v>
      </c>
      <c r="D83" s="145">
        <v>5.3</v>
      </c>
      <c r="E83" s="1"/>
      <c r="F83" s="1"/>
      <c r="G83" s="1"/>
      <c r="H83" s="1"/>
      <c r="I83" s="12"/>
      <c r="J83" s="12"/>
      <c r="K83" s="12"/>
      <c r="L83" s="12"/>
      <c r="M83" s="12"/>
      <c r="N83" s="1"/>
      <c r="O83" s="1"/>
      <c r="P83" s="1"/>
      <c r="U83" s="122"/>
      <c r="V83" s="122"/>
      <c r="W83" s="122"/>
      <c r="X83" s="122"/>
    </row>
    <row r="84" spans="1:24" ht="24" customHeight="1" thickBot="1" x14ac:dyDescent="0.3">
      <c r="A84" s="152">
        <v>14.999999999999979</v>
      </c>
      <c r="B84" s="67">
        <v>1.1000000000000001</v>
      </c>
      <c r="C84" s="67">
        <v>3.3</v>
      </c>
      <c r="D84" s="146">
        <v>5.3</v>
      </c>
      <c r="E84" s="1"/>
      <c r="F84" s="1"/>
      <c r="G84" s="1"/>
      <c r="H84" s="1"/>
      <c r="I84" s="12"/>
      <c r="J84" s="12"/>
      <c r="K84" s="12"/>
      <c r="L84" s="12"/>
      <c r="M84" s="12"/>
      <c r="N84" s="1"/>
      <c r="O84" s="1"/>
      <c r="P84" s="1"/>
      <c r="U84" s="122"/>
      <c r="V84" s="122"/>
      <c r="W84" s="122"/>
      <c r="X84" s="122"/>
    </row>
    <row r="85" spans="1:24" ht="12.75" customHeight="1" thickTop="1" x14ac:dyDescent="0.25">
      <c r="A85" s="20"/>
      <c r="B85" s="22"/>
      <c r="C85" s="22"/>
      <c r="D85" s="22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U85" s="122"/>
      <c r="V85" s="122"/>
      <c r="W85" s="122"/>
      <c r="X85" s="122"/>
    </row>
    <row r="86" spans="1:24" ht="12.75" customHeight="1" x14ac:dyDescent="0.25"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U86" s="122"/>
      <c r="V86" s="122"/>
      <c r="W86" s="122"/>
      <c r="X86" s="122"/>
    </row>
    <row r="87" spans="1:24" ht="12.75" customHeight="1" x14ac:dyDescent="0.25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1:24" ht="12.75" customHeight="1" x14ac:dyDescent="0.25"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1:24" ht="12.75" customHeight="1" x14ac:dyDescent="0.25"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1:24" ht="12.75" customHeight="1" x14ac:dyDescent="0.25"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1:24" ht="12.75" customHeight="1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1:24" ht="12.75" customHeight="1" x14ac:dyDescent="0.25"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1:24" ht="12.75" customHeight="1" x14ac:dyDescent="0.25"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1:24" ht="12.75" customHeight="1" x14ac:dyDescent="0.25"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1:24" ht="12.75" customHeight="1" x14ac:dyDescent="0.25"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1:24" ht="12.75" customHeight="1" x14ac:dyDescent="0.25"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5:16" ht="12.75" customHeight="1" x14ac:dyDescent="0.25"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5:16" ht="12.75" customHeight="1" x14ac:dyDescent="0.25"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5:16" ht="12.75" customHeight="1" x14ac:dyDescent="0.25"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5:16" ht="12.75" customHeight="1" x14ac:dyDescent="0.25"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5:16" ht="12.75" customHeight="1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5:16" ht="12.75" customHeight="1" x14ac:dyDescent="0.25"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5:16" ht="12.75" customHeight="1" x14ac:dyDescent="0.25"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5:16" ht="12.75" customHeight="1" x14ac:dyDescent="0.25"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5:16" ht="12.75" customHeight="1" x14ac:dyDescent="0.25"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5:16" ht="12.75" customHeight="1" x14ac:dyDescent="0.25"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5:16" ht="12.75" customHeight="1" x14ac:dyDescent="0.25"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5:16" ht="12.75" customHeight="1" x14ac:dyDescent="0.25"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5:16" ht="12.75" customHeight="1" x14ac:dyDescent="0.25"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5:16" ht="12.75" customHeight="1" x14ac:dyDescent="0.25"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5:16" ht="12.75" customHeight="1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5:16" ht="12.75" customHeight="1" x14ac:dyDescent="0.25"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5:16" ht="12.75" customHeight="1" x14ac:dyDescent="0.25"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5:16" ht="12.75" customHeight="1" x14ac:dyDescent="0.25"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5:16" ht="12.75" customHeight="1" x14ac:dyDescent="0.25"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5:16" ht="12.75" customHeight="1" x14ac:dyDescent="0.25"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5:16" ht="12.75" customHeight="1" x14ac:dyDescent="0.25"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5:16" ht="12.75" customHeight="1" x14ac:dyDescent="0.25"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5:16" ht="12.75" customHeight="1" x14ac:dyDescent="0.25"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5:16" ht="12.75" customHeight="1" x14ac:dyDescent="0.25"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5:16" ht="12.75" customHeight="1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5:16" ht="12.75" customHeight="1" x14ac:dyDescent="0.25"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5:16" ht="12.75" customHeight="1" x14ac:dyDescent="0.25"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5:16" ht="12.75" customHeight="1" x14ac:dyDescent="0.25"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5:16" ht="12.75" customHeight="1" x14ac:dyDescent="0.25"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5:16" ht="12.75" customHeight="1" x14ac:dyDescent="0.25"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5:16" x14ac:dyDescent="0.25"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5:16" x14ac:dyDescent="0.25"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5:16" x14ac:dyDescent="0.25"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5:16" x14ac:dyDescent="0.25"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5:16" x14ac:dyDescent="0.25"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5:16" x14ac:dyDescent="0.25"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5:16" x14ac:dyDescent="0.25"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5:16" x14ac:dyDescent="0.25"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5:16" x14ac:dyDescent="0.25"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5:16" x14ac:dyDescent="0.25"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5:16" x14ac:dyDescent="0.25"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5:16" x14ac:dyDescent="0.25"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5:16" x14ac:dyDescent="0.25"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5:16" x14ac:dyDescent="0.25"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5:16" x14ac:dyDescent="0.25"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5:16" x14ac:dyDescent="0.25"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5:16" x14ac:dyDescent="0.25"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5:16" x14ac:dyDescent="0.25"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5:16" x14ac:dyDescent="0.25"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</sheetData>
  <mergeCells count="17">
    <mergeCell ref="L9:M9"/>
    <mergeCell ref="A1:D1"/>
    <mergeCell ref="A2:D2"/>
    <mergeCell ref="A3:D3"/>
    <mergeCell ref="F6:H6"/>
    <mergeCell ref="F7:G8"/>
    <mergeCell ref="L7:M8"/>
    <mergeCell ref="F9:G9"/>
    <mergeCell ref="I9:J9"/>
    <mergeCell ref="I7:J8"/>
    <mergeCell ref="P55:P56"/>
    <mergeCell ref="I55:I56"/>
    <mergeCell ref="J55:J56"/>
    <mergeCell ref="K55:K56"/>
    <mergeCell ref="L55:L56"/>
    <mergeCell ref="M55:M56"/>
    <mergeCell ref="N55:N56"/>
  </mergeCells>
  <printOptions horizontalCentered="1"/>
  <pageMargins left="0.75" right="0.75" top="1.08" bottom="0.77" header="0.46" footer="0.41"/>
  <pageSetup orientation="portrait" horizontalDpi="1200" verticalDpi="1200" r:id="rId1"/>
  <headerFooter alignWithMargins="0">
    <oddHeader>&amp;L&amp;G&amp;R
&amp;"Arial,Bold"&amp;11Dosimetric Data Tables</oddHeader>
    <oddFooter>&amp;C- &amp;P -&amp;RIS Jan06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28"/>
  <sheetViews>
    <sheetView showGridLines="0" tabSelected="1" workbookViewId="0">
      <selection activeCell="O23" sqref="O23"/>
    </sheetView>
  </sheetViews>
  <sheetFormatPr defaultColWidth="9.109375" defaultRowHeight="13.2" x14ac:dyDescent="0.25"/>
  <cols>
    <col min="1" max="1" width="11.77734375" style="160" customWidth="1"/>
    <col min="2" max="2" width="15.109375" style="69" customWidth="1"/>
    <col min="3" max="6" width="9.77734375" style="69" customWidth="1"/>
    <col min="7" max="7" width="3.44140625" style="69" customWidth="1"/>
    <col min="8" max="8" width="13.6640625" style="69" customWidth="1"/>
    <col min="9" max="12" width="9.109375" style="69"/>
    <col min="13" max="13" width="2.5546875" style="69" customWidth="1"/>
    <col min="14" max="16" width="9.109375" style="69"/>
    <col min="17" max="17" width="14.88671875" style="69" customWidth="1"/>
    <col min="18" max="18" width="14.5546875" style="69" customWidth="1"/>
    <col min="19" max="19" width="14" style="69" customWidth="1"/>
    <col min="20" max="16384" width="9.109375" style="69"/>
  </cols>
  <sheetData>
    <row r="1" spans="1:19" ht="30" customHeight="1" x14ac:dyDescent="0.25">
      <c r="B1" s="240" t="s">
        <v>18</v>
      </c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</row>
    <row r="2" spans="1:19" ht="29.4" customHeight="1" thickBot="1" x14ac:dyDescent="0.3">
      <c r="B2" s="242" t="s">
        <v>19</v>
      </c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</row>
    <row r="3" spans="1:19" ht="21" customHeight="1" thickBot="1" x14ac:dyDescent="0.3">
      <c r="Q3" s="244" t="s">
        <v>40</v>
      </c>
      <c r="R3" s="245" t="s">
        <v>46</v>
      </c>
      <c r="S3" s="246"/>
    </row>
    <row r="4" spans="1:19" ht="24" customHeight="1" thickBot="1" x14ac:dyDescent="0.3">
      <c r="B4" s="192" t="s">
        <v>20</v>
      </c>
      <c r="C4" s="193"/>
      <c r="D4" s="193"/>
      <c r="E4" s="193"/>
      <c r="F4" s="194"/>
      <c r="G4" s="70"/>
      <c r="H4" s="71"/>
      <c r="I4" s="195" t="s">
        <v>21</v>
      </c>
      <c r="J4" s="193"/>
      <c r="K4" s="193"/>
      <c r="L4" s="194"/>
      <c r="M4" s="72"/>
      <c r="N4" s="196" t="s">
        <v>22</v>
      </c>
      <c r="Q4" s="263"/>
      <c r="R4" s="117"/>
      <c r="S4" s="264"/>
    </row>
    <row r="5" spans="1:19" ht="18" customHeight="1" thickBot="1" x14ac:dyDescent="0.3">
      <c r="B5" s="199" t="s">
        <v>37</v>
      </c>
      <c r="C5" s="201" t="s">
        <v>42</v>
      </c>
      <c r="D5" s="202"/>
      <c r="E5" s="202"/>
      <c r="F5" s="203"/>
      <c r="G5" s="70"/>
      <c r="H5" s="199" t="s">
        <v>36</v>
      </c>
      <c r="I5" s="271" t="s">
        <v>71</v>
      </c>
      <c r="J5" s="272"/>
      <c r="K5" s="272"/>
      <c r="L5" s="273"/>
      <c r="M5" s="70"/>
      <c r="N5" s="197"/>
      <c r="Q5" s="184" t="s">
        <v>41</v>
      </c>
      <c r="R5" s="205"/>
      <c r="S5" s="206"/>
    </row>
    <row r="6" spans="1:19" ht="21" customHeight="1" thickBot="1" x14ac:dyDescent="0.3">
      <c r="B6" s="200"/>
      <c r="C6" s="74">
        <v>6</v>
      </c>
      <c r="D6" s="75">
        <v>10</v>
      </c>
      <c r="E6" s="75">
        <v>15</v>
      </c>
      <c r="F6" s="76">
        <v>20</v>
      </c>
      <c r="G6" s="70"/>
      <c r="H6" s="204"/>
      <c r="I6" s="77">
        <v>100</v>
      </c>
      <c r="J6" s="78">
        <v>105</v>
      </c>
      <c r="K6" s="78">
        <v>110</v>
      </c>
      <c r="L6" s="79">
        <v>115</v>
      </c>
      <c r="M6" s="80"/>
      <c r="N6" s="198"/>
      <c r="Q6" s="128" t="s">
        <v>43</v>
      </c>
      <c r="R6" s="129" t="s">
        <v>44</v>
      </c>
      <c r="S6" s="130" t="s">
        <v>45</v>
      </c>
    </row>
    <row r="7" spans="1:19" ht="18" customHeight="1" thickBot="1" x14ac:dyDescent="0.3">
      <c r="A7" s="275" t="s">
        <v>72</v>
      </c>
      <c r="B7" s="81">
        <v>2</v>
      </c>
      <c r="C7" s="82">
        <v>0.82</v>
      </c>
      <c r="D7" s="83">
        <v>0.82</v>
      </c>
      <c r="E7" s="83"/>
      <c r="F7" s="84"/>
      <c r="G7" s="85"/>
      <c r="H7" s="86">
        <v>2</v>
      </c>
      <c r="I7" s="87">
        <v>1</v>
      </c>
      <c r="J7" s="83">
        <v>0.81499999999999995</v>
      </c>
      <c r="K7" s="83">
        <v>0.63</v>
      </c>
      <c r="L7" s="84">
        <v>0.44500000000000001</v>
      </c>
      <c r="M7" s="127">
        <f>H7</f>
        <v>2</v>
      </c>
      <c r="N7" s="88">
        <v>20.8</v>
      </c>
      <c r="Q7" s="157">
        <v>10</v>
      </c>
      <c r="R7" s="158">
        <v>5</v>
      </c>
      <c r="S7" s="131">
        <f>IF(Interpolate2DTable(R7,Q7,$B$6:$F$17)&gt;0,Interpolate2DTable(R7,Q7,$B$6:$F$17),"")</f>
        <v>1</v>
      </c>
    </row>
    <row r="8" spans="1:19" ht="18" customHeight="1" x14ac:dyDescent="0.25">
      <c r="A8" s="275"/>
      <c r="B8" s="89">
        <v>3</v>
      </c>
      <c r="C8" s="90">
        <v>0.95</v>
      </c>
      <c r="D8" s="91">
        <v>0.95</v>
      </c>
      <c r="E8" s="91">
        <v>0.94099999999999995</v>
      </c>
      <c r="F8" s="92">
        <v>0.93100000000000005</v>
      </c>
      <c r="G8" s="85"/>
      <c r="H8" s="93">
        <v>3</v>
      </c>
      <c r="I8" s="94">
        <v>1</v>
      </c>
      <c r="J8" s="91">
        <v>0.876</v>
      </c>
      <c r="K8" s="91">
        <v>0.751</v>
      </c>
      <c r="L8" s="92">
        <v>0.627</v>
      </c>
      <c r="M8" s="127">
        <f t="shared" ref="M8:M17" si="0">H8</f>
        <v>3</v>
      </c>
      <c r="N8" s="95">
        <v>33.299999999999997</v>
      </c>
      <c r="Q8" s="263"/>
      <c r="R8" s="117"/>
      <c r="S8" s="264"/>
    </row>
    <row r="9" spans="1:19" ht="18" customHeight="1" thickBot="1" x14ac:dyDescent="0.3">
      <c r="A9" s="275"/>
      <c r="B9" s="89">
        <v>4</v>
      </c>
      <c r="C9" s="90">
        <v>0.995</v>
      </c>
      <c r="D9" s="91">
        <v>0.995</v>
      </c>
      <c r="E9" s="91">
        <v>1</v>
      </c>
      <c r="F9" s="92">
        <v>1</v>
      </c>
      <c r="G9" s="85"/>
      <c r="H9" s="93">
        <v>4</v>
      </c>
      <c r="I9" s="94">
        <v>1</v>
      </c>
      <c r="J9" s="91">
        <v>0.92300000000000004</v>
      </c>
      <c r="K9" s="91">
        <v>0.84499999999999997</v>
      </c>
      <c r="L9" s="92">
        <v>0.76800000000000002</v>
      </c>
      <c r="M9" s="127">
        <f t="shared" si="0"/>
        <v>4</v>
      </c>
      <c r="N9" s="95">
        <v>48.4</v>
      </c>
      <c r="Q9" s="263"/>
      <c r="R9" s="117"/>
      <c r="S9" s="264"/>
    </row>
    <row r="10" spans="1:19" ht="18" customHeight="1" thickBot="1" x14ac:dyDescent="0.3">
      <c r="A10" s="275"/>
      <c r="B10" s="89">
        <v>5</v>
      </c>
      <c r="C10" s="90">
        <v>1</v>
      </c>
      <c r="D10" s="91">
        <v>1</v>
      </c>
      <c r="E10" s="91">
        <v>1.01</v>
      </c>
      <c r="F10" s="92">
        <v>1.01</v>
      </c>
      <c r="G10" s="85"/>
      <c r="H10" s="93">
        <v>5</v>
      </c>
      <c r="I10" s="94">
        <v>1</v>
      </c>
      <c r="J10" s="91">
        <v>0.95599999999999996</v>
      </c>
      <c r="K10" s="91">
        <v>0.91100000000000003</v>
      </c>
      <c r="L10" s="92">
        <v>0.86699999999999999</v>
      </c>
      <c r="M10" s="127">
        <f t="shared" si="0"/>
        <v>5</v>
      </c>
      <c r="N10" s="95">
        <v>64.5</v>
      </c>
      <c r="Q10" s="207" t="s">
        <v>48</v>
      </c>
      <c r="R10" s="205"/>
      <c r="S10" s="206"/>
    </row>
    <row r="11" spans="1:19" ht="18" customHeight="1" thickBot="1" x14ac:dyDescent="0.3">
      <c r="A11" s="275"/>
      <c r="B11" s="89">
        <v>6</v>
      </c>
      <c r="C11" s="90">
        <v>1</v>
      </c>
      <c r="D11" s="91">
        <v>1</v>
      </c>
      <c r="E11" s="91">
        <v>1.01</v>
      </c>
      <c r="F11" s="92">
        <v>1.01</v>
      </c>
      <c r="G11" s="85"/>
      <c r="H11" s="93">
        <v>6</v>
      </c>
      <c r="I11" s="94">
        <v>1</v>
      </c>
      <c r="J11" s="91">
        <v>0.96599999999999997</v>
      </c>
      <c r="K11" s="91">
        <v>0.93200000000000005</v>
      </c>
      <c r="L11" s="92">
        <v>0.89800000000000002</v>
      </c>
      <c r="M11" s="127">
        <f t="shared" si="0"/>
        <v>6</v>
      </c>
      <c r="N11" s="95">
        <v>71.099999999999994</v>
      </c>
      <c r="Q11" s="128" t="s">
        <v>49</v>
      </c>
      <c r="R11" s="129" t="s">
        <v>50</v>
      </c>
      <c r="S11" s="132" t="s">
        <v>47</v>
      </c>
    </row>
    <row r="12" spans="1:19" ht="18" customHeight="1" thickBot="1" x14ac:dyDescent="0.3">
      <c r="A12" s="275"/>
      <c r="B12" s="89">
        <v>7</v>
      </c>
      <c r="C12" s="90"/>
      <c r="D12" s="91">
        <v>1.0049999999999999</v>
      </c>
      <c r="E12" s="91">
        <v>1.01</v>
      </c>
      <c r="F12" s="92">
        <v>1.01</v>
      </c>
      <c r="G12" s="85"/>
      <c r="H12" s="93">
        <v>7</v>
      </c>
      <c r="I12" s="94">
        <v>1</v>
      </c>
      <c r="J12" s="91">
        <v>0.97699999999999998</v>
      </c>
      <c r="K12" s="91">
        <v>0.95399999999999996</v>
      </c>
      <c r="L12" s="92">
        <v>0.93</v>
      </c>
      <c r="M12" s="127">
        <f t="shared" si="0"/>
        <v>7</v>
      </c>
      <c r="N12" s="95">
        <v>79</v>
      </c>
      <c r="Q12" s="157">
        <v>10</v>
      </c>
      <c r="R12" s="158">
        <v>105</v>
      </c>
      <c r="S12" s="131">
        <f>Interpolate2DTable(Q12,R12,$H$6:$L$17)</f>
        <v>0.98299999999999998</v>
      </c>
    </row>
    <row r="13" spans="1:19" ht="18" customHeight="1" x14ac:dyDescent="0.25">
      <c r="A13" s="275"/>
      <c r="B13" s="89">
        <v>8</v>
      </c>
      <c r="C13" s="90"/>
      <c r="D13" s="91">
        <v>1.0049999999999999</v>
      </c>
      <c r="E13" s="91">
        <v>1.01</v>
      </c>
      <c r="F13" s="92">
        <v>1.01</v>
      </c>
      <c r="G13" s="85"/>
      <c r="H13" s="93">
        <v>8</v>
      </c>
      <c r="I13" s="94">
        <v>1</v>
      </c>
      <c r="J13" s="91">
        <v>0.98199999999999998</v>
      </c>
      <c r="K13" s="91">
        <v>0.96399999999999997</v>
      </c>
      <c r="L13" s="92">
        <v>0.94599999999999995</v>
      </c>
      <c r="M13" s="127">
        <f t="shared" si="0"/>
        <v>8</v>
      </c>
      <c r="N13" s="95">
        <v>83.4</v>
      </c>
      <c r="Q13" s="263"/>
      <c r="R13" s="117"/>
      <c r="S13" s="264"/>
    </row>
    <row r="14" spans="1:19" ht="18" customHeight="1" thickBot="1" x14ac:dyDescent="0.3">
      <c r="A14" s="275"/>
      <c r="B14" s="89">
        <v>10</v>
      </c>
      <c r="C14" s="90"/>
      <c r="D14" s="91">
        <v>1</v>
      </c>
      <c r="E14" s="91">
        <v>1.01</v>
      </c>
      <c r="F14" s="92">
        <v>1.01</v>
      </c>
      <c r="G14" s="85"/>
      <c r="H14" s="93">
        <v>10</v>
      </c>
      <c r="I14" s="94">
        <v>1</v>
      </c>
      <c r="J14" s="91">
        <v>0.98299999999999998</v>
      </c>
      <c r="K14" s="91">
        <v>0.96499999999999997</v>
      </c>
      <c r="L14" s="92">
        <v>0.94799999999999995</v>
      </c>
      <c r="M14" s="127">
        <f t="shared" si="0"/>
        <v>10</v>
      </c>
      <c r="N14" s="95">
        <v>83.8</v>
      </c>
      <c r="Q14" s="263"/>
      <c r="R14" s="117"/>
      <c r="S14" s="264"/>
    </row>
    <row r="15" spans="1:19" ht="18" customHeight="1" thickBot="1" x14ac:dyDescent="0.3">
      <c r="A15" s="275"/>
      <c r="B15" s="89">
        <v>12</v>
      </c>
      <c r="C15" s="90"/>
      <c r="D15" s="91"/>
      <c r="E15" s="91">
        <v>1.01</v>
      </c>
      <c r="F15" s="92">
        <v>1.01</v>
      </c>
      <c r="G15" s="85"/>
      <c r="H15" s="93">
        <v>12</v>
      </c>
      <c r="I15" s="94">
        <v>1</v>
      </c>
      <c r="J15" s="91">
        <v>0.98699999999999999</v>
      </c>
      <c r="K15" s="91">
        <v>0.97299999999999998</v>
      </c>
      <c r="L15" s="92">
        <v>0.96</v>
      </c>
      <c r="M15" s="127">
        <f t="shared" si="0"/>
        <v>12</v>
      </c>
      <c r="N15" s="95">
        <v>87.6</v>
      </c>
      <c r="Q15" s="184" t="s">
        <v>51</v>
      </c>
      <c r="R15" s="185"/>
      <c r="S15" s="265"/>
    </row>
    <row r="16" spans="1:19" ht="18" customHeight="1" thickBot="1" x14ac:dyDescent="0.3">
      <c r="A16" s="275"/>
      <c r="B16" s="89">
        <v>15</v>
      </c>
      <c r="C16" s="90"/>
      <c r="D16" s="91"/>
      <c r="E16" s="91">
        <v>1</v>
      </c>
      <c r="F16" s="92">
        <v>1.01</v>
      </c>
      <c r="G16" s="85"/>
      <c r="H16" s="93">
        <v>15</v>
      </c>
      <c r="I16" s="94">
        <v>1</v>
      </c>
      <c r="J16" s="91">
        <v>0.98699999999999999</v>
      </c>
      <c r="K16" s="91">
        <v>0.97299999999999998</v>
      </c>
      <c r="L16" s="92">
        <v>0.96</v>
      </c>
      <c r="M16" s="127">
        <f t="shared" si="0"/>
        <v>15</v>
      </c>
      <c r="N16" s="95">
        <v>87.6</v>
      </c>
      <c r="Q16" s="128" t="s">
        <v>49</v>
      </c>
      <c r="R16" s="130" t="s">
        <v>39</v>
      </c>
      <c r="S16" s="264"/>
    </row>
    <row r="17" spans="1:19" ht="18" customHeight="1" thickBot="1" x14ac:dyDescent="0.3">
      <c r="A17" s="275"/>
      <c r="B17" s="96">
        <v>20</v>
      </c>
      <c r="C17" s="97"/>
      <c r="D17" s="98"/>
      <c r="E17" s="98"/>
      <c r="F17" s="99">
        <v>1</v>
      </c>
      <c r="G17" s="85"/>
      <c r="H17" s="100">
        <v>20</v>
      </c>
      <c r="I17" s="101">
        <v>1</v>
      </c>
      <c r="J17" s="102">
        <v>0.98799999999999999</v>
      </c>
      <c r="K17" s="102">
        <v>0.97699999999999998</v>
      </c>
      <c r="L17" s="103">
        <v>0.96499999999999997</v>
      </c>
      <c r="M17" s="127">
        <f t="shared" si="0"/>
        <v>20</v>
      </c>
      <c r="N17" s="104">
        <v>89.1</v>
      </c>
      <c r="Q17" s="157">
        <v>10</v>
      </c>
      <c r="R17" s="133">
        <f>Interpolate1DTable(Q17,$M$7:$N$17)</f>
        <v>83.8</v>
      </c>
      <c r="S17" s="266"/>
    </row>
    <row r="18" spans="1:19" ht="30.75" customHeight="1" thickBot="1" x14ac:dyDescent="0.3">
      <c r="A18" s="182" t="s">
        <v>58</v>
      </c>
      <c r="B18" s="183"/>
      <c r="C18" s="105">
        <v>0.97</v>
      </c>
      <c r="D18" s="106">
        <v>1</v>
      </c>
      <c r="E18" s="106">
        <v>1</v>
      </c>
      <c r="F18" s="107">
        <v>1.01</v>
      </c>
      <c r="G18" s="70"/>
      <c r="H18" s="186" t="s">
        <v>38</v>
      </c>
      <c r="I18" s="187"/>
      <c r="J18" s="187"/>
      <c r="K18" s="187"/>
      <c r="L18" s="187"/>
      <c r="M18" s="187"/>
      <c r="N18" s="188"/>
    </row>
    <row r="19" spans="1:19" ht="14.4" thickBot="1" x14ac:dyDescent="0.3">
      <c r="B19" s="70"/>
      <c r="C19" s="70"/>
      <c r="D19" s="70"/>
      <c r="E19" s="70"/>
      <c r="F19" s="70"/>
      <c r="G19" s="85"/>
      <c r="H19" s="189"/>
      <c r="I19" s="190"/>
      <c r="J19" s="190"/>
      <c r="K19" s="190"/>
      <c r="L19" s="190"/>
      <c r="M19" s="190"/>
      <c r="N19" s="191"/>
    </row>
    <row r="20" spans="1:19" s="169" customFormat="1" ht="13.8" x14ac:dyDescent="0.25">
      <c r="B20" s="168"/>
      <c r="C20" s="168"/>
      <c r="D20" s="168"/>
      <c r="E20" s="168"/>
      <c r="F20" s="168"/>
      <c r="G20" s="85"/>
      <c r="H20" s="274"/>
      <c r="I20" s="274"/>
      <c r="J20" s="274"/>
      <c r="K20" s="274"/>
      <c r="L20" s="274"/>
      <c r="M20" s="274"/>
      <c r="N20" s="274"/>
    </row>
    <row r="21" spans="1:19" ht="23.4" customHeight="1" x14ac:dyDescent="0.25">
      <c r="B21" s="109" t="s">
        <v>23</v>
      </c>
      <c r="C21" s="110" t="s">
        <v>24</v>
      </c>
      <c r="D21" s="111"/>
      <c r="E21" s="111"/>
      <c r="F21" s="111"/>
      <c r="H21" s="117"/>
      <c r="I21" s="108"/>
      <c r="J21" s="117"/>
      <c r="K21" s="117"/>
      <c r="L21" s="117"/>
      <c r="M21" s="117"/>
      <c r="N21" s="117"/>
    </row>
    <row r="22" spans="1:19" x14ac:dyDescent="0.25">
      <c r="J22" s="73"/>
      <c r="K22" s="73"/>
      <c r="L22" s="73"/>
      <c r="M22" s="73"/>
      <c r="N22" s="73"/>
    </row>
    <row r="23" spans="1:19" ht="22.5" customHeight="1" x14ac:dyDescent="0.25">
      <c r="A23" s="268" t="s">
        <v>64</v>
      </c>
      <c r="B23" s="267" t="s">
        <v>73</v>
      </c>
      <c r="J23" s="73"/>
      <c r="K23" s="73"/>
      <c r="L23" s="73"/>
      <c r="M23" s="73"/>
      <c r="N23" s="73"/>
    </row>
    <row r="24" spans="1:19" s="169" customFormat="1" ht="22.5" customHeight="1" x14ac:dyDescent="0.25">
      <c r="A24" s="268" t="s">
        <v>65</v>
      </c>
      <c r="B24" s="116" t="s">
        <v>69</v>
      </c>
      <c r="J24" s="73"/>
      <c r="K24" s="73"/>
      <c r="L24" s="73"/>
      <c r="M24" s="73"/>
      <c r="N24" s="73"/>
    </row>
    <row r="25" spans="1:19" s="169" customFormat="1" ht="22.5" customHeight="1" x14ac:dyDescent="0.25">
      <c r="A25" s="268"/>
      <c r="B25" s="116" t="s">
        <v>67</v>
      </c>
      <c r="J25" s="73"/>
      <c r="K25" s="73"/>
      <c r="L25" s="73"/>
      <c r="M25" s="73"/>
      <c r="N25" s="73"/>
    </row>
    <row r="26" spans="1:19" x14ac:dyDescent="0.25">
      <c r="J26" s="73"/>
      <c r="K26" s="73"/>
      <c r="L26" s="73"/>
      <c r="M26" s="73"/>
      <c r="N26" s="73"/>
    </row>
    <row r="27" spans="1:19" ht="18.600000000000001" x14ac:dyDescent="0.25">
      <c r="C27" s="113" t="s">
        <v>35</v>
      </c>
      <c r="D27" s="114" t="s">
        <v>66</v>
      </c>
      <c r="H27" s="73"/>
      <c r="I27" s="73"/>
      <c r="J27" s="73"/>
      <c r="K27" s="73"/>
      <c r="L27" s="73"/>
      <c r="M27" s="73"/>
      <c r="N27" s="73"/>
    </row>
    <row r="28" spans="1:19" ht="18" x14ac:dyDescent="0.25">
      <c r="D28" s="115" t="s">
        <v>74</v>
      </c>
    </row>
  </sheetData>
  <mergeCells count="15">
    <mergeCell ref="A7:A17"/>
    <mergeCell ref="A18:B18"/>
    <mergeCell ref="Q15:R15"/>
    <mergeCell ref="H18:N19"/>
    <mergeCell ref="B1:N1"/>
    <mergeCell ref="B2:N2"/>
    <mergeCell ref="B4:F4"/>
    <mergeCell ref="I4:L4"/>
    <mergeCell ref="N4:N6"/>
    <mergeCell ref="B5:B6"/>
    <mergeCell ref="C5:F5"/>
    <mergeCell ref="H5:H6"/>
    <mergeCell ref="I5:L5"/>
    <mergeCell ref="Q5:S5"/>
    <mergeCell ref="Q10:S10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S28"/>
  <sheetViews>
    <sheetView showGridLines="0" workbookViewId="0">
      <selection activeCell="D29" sqref="D29"/>
    </sheetView>
  </sheetViews>
  <sheetFormatPr defaultColWidth="9.109375" defaultRowHeight="13.2" x14ac:dyDescent="0.25"/>
  <cols>
    <col min="1" max="1" width="11.77734375" style="160" customWidth="1"/>
    <col min="2" max="2" width="15.109375" style="69" customWidth="1"/>
    <col min="3" max="6" width="9.77734375" style="69" customWidth="1"/>
    <col min="7" max="7" width="3.44140625" style="69" customWidth="1"/>
    <col min="8" max="8" width="13.6640625" style="69" customWidth="1"/>
    <col min="9" max="12" width="9.109375" style="69"/>
    <col min="13" max="13" width="2.5546875" style="69" customWidth="1"/>
    <col min="14" max="16" width="9.109375" style="69"/>
    <col min="17" max="17" width="14.88671875" style="69" customWidth="1"/>
    <col min="18" max="18" width="14.5546875" style="69" customWidth="1"/>
    <col min="19" max="19" width="14" style="69" customWidth="1"/>
    <col min="20" max="16384" width="9.109375" style="69"/>
  </cols>
  <sheetData>
    <row r="1" spans="1:19" ht="30" customHeight="1" x14ac:dyDescent="0.25">
      <c r="B1" s="240" t="s">
        <v>25</v>
      </c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</row>
    <row r="2" spans="1:19" ht="29.4" customHeight="1" thickBot="1" x14ac:dyDescent="0.3">
      <c r="B2" s="242" t="s">
        <v>19</v>
      </c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</row>
    <row r="3" spans="1:19" ht="21" customHeight="1" thickBot="1" x14ac:dyDescent="0.3">
      <c r="Q3" s="244" t="s">
        <v>40</v>
      </c>
      <c r="R3" s="245" t="s">
        <v>46</v>
      </c>
      <c r="S3" s="246"/>
    </row>
    <row r="4" spans="1:19" ht="24" customHeight="1" thickBot="1" x14ac:dyDescent="0.3">
      <c r="B4" s="192" t="s">
        <v>20</v>
      </c>
      <c r="C4" s="193"/>
      <c r="D4" s="193"/>
      <c r="E4" s="193"/>
      <c r="F4" s="194"/>
      <c r="G4" s="70"/>
      <c r="H4" s="71"/>
      <c r="I4" s="195" t="s">
        <v>21</v>
      </c>
      <c r="J4" s="193"/>
      <c r="K4" s="193"/>
      <c r="L4" s="194"/>
      <c r="M4" s="72"/>
      <c r="N4" s="196" t="s">
        <v>22</v>
      </c>
      <c r="Q4" s="263"/>
      <c r="R4" s="117"/>
      <c r="S4" s="264"/>
    </row>
    <row r="5" spans="1:19" ht="18" customHeight="1" thickBot="1" x14ac:dyDescent="0.3">
      <c r="B5" s="199" t="s">
        <v>37</v>
      </c>
      <c r="C5" s="201" t="s">
        <v>42</v>
      </c>
      <c r="D5" s="202"/>
      <c r="E5" s="202"/>
      <c r="F5" s="203"/>
      <c r="G5" s="70"/>
      <c r="H5" s="199" t="s">
        <v>36</v>
      </c>
      <c r="I5" s="271" t="s">
        <v>71</v>
      </c>
      <c r="J5" s="272"/>
      <c r="K5" s="272"/>
      <c r="L5" s="273"/>
      <c r="M5" s="70"/>
      <c r="N5" s="197"/>
      <c r="Q5" s="184" t="s">
        <v>41</v>
      </c>
      <c r="R5" s="205"/>
      <c r="S5" s="206"/>
    </row>
    <row r="6" spans="1:19" ht="21" customHeight="1" thickBot="1" x14ac:dyDescent="0.3">
      <c r="B6" s="200"/>
      <c r="C6" s="74">
        <v>6</v>
      </c>
      <c r="D6" s="75">
        <v>10</v>
      </c>
      <c r="E6" s="75">
        <v>15</v>
      </c>
      <c r="F6" s="76">
        <v>20</v>
      </c>
      <c r="G6" s="70"/>
      <c r="H6" s="204"/>
      <c r="I6" s="77">
        <v>100</v>
      </c>
      <c r="J6" s="78">
        <v>105</v>
      </c>
      <c r="K6" s="78">
        <v>110</v>
      </c>
      <c r="L6" s="79">
        <v>115</v>
      </c>
      <c r="M6" s="80"/>
      <c r="N6" s="198"/>
      <c r="Q6" s="128" t="s">
        <v>43</v>
      </c>
      <c r="R6" s="129" t="s">
        <v>44</v>
      </c>
      <c r="S6" s="130" t="s">
        <v>45</v>
      </c>
    </row>
    <row r="7" spans="1:19" ht="18" customHeight="1" thickBot="1" x14ac:dyDescent="0.3">
      <c r="A7" s="275" t="s">
        <v>72</v>
      </c>
      <c r="B7" s="81">
        <v>2</v>
      </c>
      <c r="C7" s="82">
        <v>0.85499999999999998</v>
      </c>
      <c r="D7" s="83">
        <v>0.85499999999999998</v>
      </c>
      <c r="E7" s="83"/>
      <c r="F7" s="84"/>
      <c r="G7" s="85"/>
      <c r="H7" s="86">
        <v>2</v>
      </c>
      <c r="I7" s="87">
        <v>1</v>
      </c>
      <c r="J7" s="83">
        <v>0.86699999999999999</v>
      </c>
      <c r="K7" s="83">
        <v>0.73499999999999999</v>
      </c>
      <c r="L7" s="84">
        <v>0.60199999999999998</v>
      </c>
      <c r="M7" s="127">
        <f>H7</f>
        <v>2</v>
      </c>
      <c r="N7" s="88">
        <v>31.4</v>
      </c>
      <c r="Q7" s="157">
        <v>10</v>
      </c>
      <c r="R7" s="158">
        <v>5</v>
      </c>
      <c r="S7" s="131">
        <f>IF(Interpolate2DTable(R7,Q7,$B$6:$F$17)&gt;0,Interpolate2DTable(R7,Q7,$B$6:$F$17),"")</f>
        <v>0.995</v>
      </c>
    </row>
    <row r="8" spans="1:19" ht="18" customHeight="1" x14ac:dyDescent="0.25">
      <c r="A8" s="276"/>
      <c r="B8" s="89">
        <v>3</v>
      </c>
      <c r="C8" s="90">
        <v>0.92500000000000004</v>
      </c>
      <c r="D8" s="91">
        <v>0.92500000000000004</v>
      </c>
      <c r="E8" s="91">
        <v>0.91200000000000003</v>
      </c>
      <c r="F8" s="92">
        <v>0.91200000000000003</v>
      </c>
      <c r="G8" s="85"/>
      <c r="H8" s="93">
        <v>3</v>
      </c>
      <c r="I8" s="94">
        <v>1</v>
      </c>
      <c r="J8" s="91">
        <v>0.92500000000000004</v>
      </c>
      <c r="K8" s="91">
        <v>0.84899999999999998</v>
      </c>
      <c r="L8" s="92">
        <v>0.77400000000000002</v>
      </c>
      <c r="M8" s="127">
        <f t="shared" ref="M8:M17" si="0">H8</f>
        <v>3</v>
      </c>
      <c r="N8" s="95">
        <v>49.4</v>
      </c>
      <c r="Q8" s="263"/>
      <c r="R8" s="117"/>
      <c r="S8" s="264"/>
    </row>
    <row r="9" spans="1:19" ht="18" customHeight="1" thickBot="1" x14ac:dyDescent="0.3">
      <c r="A9" s="276"/>
      <c r="B9" s="89">
        <v>4</v>
      </c>
      <c r="C9" s="90">
        <v>0.97499999999999998</v>
      </c>
      <c r="D9" s="91">
        <v>0.97499999999999998</v>
      </c>
      <c r="E9" s="91">
        <v>0.97</v>
      </c>
      <c r="F9" s="92">
        <v>0.97</v>
      </c>
      <c r="G9" s="85"/>
      <c r="H9" s="93">
        <v>4</v>
      </c>
      <c r="I9" s="94">
        <v>1</v>
      </c>
      <c r="J9" s="91">
        <v>0.95399999999999996</v>
      </c>
      <c r="K9" s="91">
        <v>0.90900000000000003</v>
      </c>
      <c r="L9" s="92">
        <v>0.86299999999999999</v>
      </c>
      <c r="M9" s="127">
        <f t="shared" si="0"/>
        <v>4</v>
      </c>
      <c r="N9" s="95">
        <v>64.099999999999994</v>
      </c>
      <c r="Q9" s="263"/>
      <c r="R9" s="117"/>
      <c r="S9" s="264"/>
    </row>
    <row r="10" spans="1:19" ht="18" customHeight="1" thickBot="1" x14ac:dyDescent="0.3">
      <c r="A10" s="276"/>
      <c r="B10" s="89">
        <v>5</v>
      </c>
      <c r="C10" s="90">
        <v>0.995</v>
      </c>
      <c r="D10" s="91">
        <v>0.995</v>
      </c>
      <c r="E10" s="91">
        <v>1</v>
      </c>
      <c r="F10" s="92">
        <v>1</v>
      </c>
      <c r="G10" s="85"/>
      <c r="H10" s="93">
        <v>5</v>
      </c>
      <c r="I10" s="94">
        <v>1</v>
      </c>
      <c r="J10" s="91">
        <v>0.97299999999999998</v>
      </c>
      <c r="K10" s="91">
        <v>0.94599999999999995</v>
      </c>
      <c r="L10" s="92">
        <v>0.91900000000000004</v>
      </c>
      <c r="M10" s="127">
        <f t="shared" si="0"/>
        <v>5</v>
      </c>
      <c r="N10" s="95">
        <v>76.400000000000006</v>
      </c>
      <c r="Q10" s="207" t="s">
        <v>48</v>
      </c>
      <c r="R10" s="205"/>
      <c r="S10" s="206"/>
    </row>
    <row r="11" spans="1:19" ht="18" customHeight="1" thickBot="1" x14ac:dyDescent="0.3">
      <c r="A11" s="276"/>
      <c r="B11" s="89">
        <v>6</v>
      </c>
      <c r="C11" s="90">
        <v>1</v>
      </c>
      <c r="D11" s="91">
        <v>1</v>
      </c>
      <c r="E11" s="91">
        <v>1.01</v>
      </c>
      <c r="F11" s="92">
        <v>1.01</v>
      </c>
      <c r="G11" s="85"/>
      <c r="H11" s="93">
        <v>6</v>
      </c>
      <c r="I11" s="94">
        <v>1</v>
      </c>
      <c r="J11" s="91">
        <v>0.97899999999999998</v>
      </c>
      <c r="K11" s="91">
        <v>0.95799999999999996</v>
      </c>
      <c r="L11" s="92">
        <v>0.93700000000000006</v>
      </c>
      <c r="M11" s="127">
        <f t="shared" si="0"/>
        <v>6</v>
      </c>
      <c r="N11" s="95">
        <v>81.2</v>
      </c>
      <c r="Q11" s="128" t="s">
        <v>49</v>
      </c>
      <c r="R11" s="129" t="s">
        <v>50</v>
      </c>
      <c r="S11" s="132" t="s">
        <v>48</v>
      </c>
    </row>
    <row r="12" spans="1:19" ht="18" customHeight="1" thickBot="1" x14ac:dyDescent="0.3">
      <c r="A12" s="276"/>
      <c r="B12" s="89">
        <v>7</v>
      </c>
      <c r="C12" s="90"/>
      <c r="D12" s="91">
        <v>1</v>
      </c>
      <c r="E12" s="91">
        <v>1.01</v>
      </c>
      <c r="F12" s="92">
        <v>1.01</v>
      </c>
      <c r="G12" s="85"/>
      <c r="H12" s="93">
        <v>7</v>
      </c>
      <c r="I12" s="94">
        <v>1</v>
      </c>
      <c r="J12" s="91">
        <v>0.98499999999999999</v>
      </c>
      <c r="K12" s="91">
        <v>0.97</v>
      </c>
      <c r="L12" s="92">
        <v>0.95499999999999996</v>
      </c>
      <c r="M12" s="127">
        <f t="shared" si="0"/>
        <v>7</v>
      </c>
      <c r="N12" s="95">
        <v>86.7</v>
      </c>
      <c r="Q12" s="157">
        <v>10</v>
      </c>
      <c r="R12" s="158">
        <v>105</v>
      </c>
      <c r="S12" s="131">
        <f>Interpolate2DTable(Q12,R12,$H$6:$L$17)</f>
        <v>0.98699999999999999</v>
      </c>
    </row>
    <row r="13" spans="1:19" ht="18" customHeight="1" x14ac:dyDescent="0.25">
      <c r="A13" s="276"/>
      <c r="B13" s="89">
        <v>8</v>
      </c>
      <c r="C13" s="90"/>
      <c r="D13" s="91">
        <v>1</v>
      </c>
      <c r="E13" s="91">
        <v>1.01</v>
      </c>
      <c r="F13" s="92">
        <v>1.01</v>
      </c>
      <c r="G13" s="85"/>
      <c r="H13" s="93">
        <v>8</v>
      </c>
      <c r="I13" s="94">
        <v>1</v>
      </c>
      <c r="J13" s="91">
        <v>0.98799999999999999</v>
      </c>
      <c r="K13" s="91">
        <v>0.97599999999999998</v>
      </c>
      <c r="L13" s="92">
        <v>0.96299999999999997</v>
      </c>
      <c r="M13" s="127">
        <f t="shared" si="0"/>
        <v>8</v>
      </c>
      <c r="N13" s="95">
        <v>89.2</v>
      </c>
      <c r="Q13" s="263"/>
      <c r="R13" s="117"/>
      <c r="S13" s="264"/>
    </row>
    <row r="14" spans="1:19" ht="18" customHeight="1" thickBot="1" x14ac:dyDescent="0.3">
      <c r="A14" s="276"/>
      <c r="B14" s="89">
        <v>10</v>
      </c>
      <c r="C14" s="90"/>
      <c r="D14" s="91">
        <v>1</v>
      </c>
      <c r="E14" s="91">
        <v>1.01</v>
      </c>
      <c r="F14" s="92">
        <v>1.01</v>
      </c>
      <c r="G14" s="85"/>
      <c r="H14" s="93">
        <v>10</v>
      </c>
      <c r="I14" s="94">
        <v>1</v>
      </c>
      <c r="J14" s="91">
        <v>0.98699999999999999</v>
      </c>
      <c r="K14" s="91">
        <v>0.97499999999999998</v>
      </c>
      <c r="L14" s="92">
        <v>0.96199999999999997</v>
      </c>
      <c r="M14" s="127">
        <f t="shared" si="0"/>
        <v>10</v>
      </c>
      <c r="N14" s="95">
        <v>88.7</v>
      </c>
      <c r="Q14" s="263"/>
      <c r="R14" s="117"/>
      <c r="S14" s="264"/>
    </row>
    <row r="15" spans="1:19" ht="18" customHeight="1" thickBot="1" x14ac:dyDescent="0.3">
      <c r="A15" s="276"/>
      <c r="B15" s="89">
        <v>12</v>
      </c>
      <c r="C15" s="90"/>
      <c r="D15" s="91"/>
      <c r="E15" s="91">
        <v>1.01</v>
      </c>
      <c r="F15" s="92">
        <v>1.01</v>
      </c>
      <c r="G15" s="85"/>
      <c r="H15" s="93">
        <v>12</v>
      </c>
      <c r="I15" s="94">
        <v>1</v>
      </c>
      <c r="J15" s="91">
        <v>0.98899999999999999</v>
      </c>
      <c r="K15" s="91">
        <v>0.97699999999999998</v>
      </c>
      <c r="L15" s="92">
        <v>0.96599999999999997</v>
      </c>
      <c r="M15" s="127">
        <f t="shared" si="0"/>
        <v>12</v>
      </c>
      <c r="N15" s="95">
        <v>90.1</v>
      </c>
      <c r="Q15" s="184" t="s">
        <v>51</v>
      </c>
      <c r="R15" s="185"/>
      <c r="S15" s="265"/>
    </row>
    <row r="16" spans="1:19" ht="18" customHeight="1" thickBot="1" x14ac:dyDescent="0.3">
      <c r="A16" s="276"/>
      <c r="B16" s="89">
        <v>15</v>
      </c>
      <c r="C16" s="90"/>
      <c r="D16" s="91"/>
      <c r="E16" s="91">
        <v>1</v>
      </c>
      <c r="F16" s="92">
        <v>1</v>
      </c>
      <c r="G16" s="85"/>
      <c r="H16" s="93">
        <v>15</v>
      </c>
      <c r="I16" s="94">
        <v>1</v>
      </c>
      <c r="J16" s="91">
        <v>0.99</v>
      </c>
      <c r="K16" s="91">
        <v>0.98099999999999998</v>
      </c>
      <c r="L16" s="92">
        <v>0.97099999999999997</v>
      </c>
      <c r="M16" s="127">
        <f t="shared" si="0"/>
        <v>15</v>
      </c>
      <c r="N16" s="95">
        <v>91.7</v>
      </c>
      <c r="Q16" s="128" t="s">
        <v>49</v>
      </c>
      <c r="R16" s="130" t="s">
        <v>39</v>
      </c>
      <c r="S16" s="264"/>
    </row>
    <row r="17" spans="1:19" ht="18" customHeight="1" thickBot="1" x14ac:dyDescent="0.3">
      <c r="A17" s="276"/>
      <c r="B17" s="96">
        <v>20</v>
      </c>
      <c r="C17" s="97"/>
      <c r="D17" s="98"/>
      <c r="E17" s="98"/>
      <c r="F17" s="99">
        <v>1</v>
      </c>
      <c r="G17" s="85"/>
      <c r="H17" s="100">
        <v>20</v>
      </c>
      <c r="I17" s="101">
        <v>1</v>
      </c>
      <c r="J17" s="102">
        <v>0.99099999999999999</v>
      </c>
      <c r="K17" s="102">
        <v>0.98199999999999998</v>
      </c>
      <c r="L17" s="103">
        <v>0.97299999999999998</v>
      </c>
      <c r="M17" s="127">
        <f t="shared" si="0"/>
        <v>20</v>
      </c>
      <c r="N17" s="104">
        <v>92.2</v>
      </c>
      <c r="Q17" s="157">
        <v>10</v>
      </c>
      <c r="R17" s="133">
        <f>Interpolate1DTable(Q17,$M$7:$N$17)</f>
        <v>88.7</v>
      </c>
      <c r="S17" s="266"/>
    </row>
    <row r="18" spans="1:19" ht="30.75" customHeight="1" thickBot="1" x14ac:dyDescent="0.3">
      <c r="A18" s="208" t="s">
        <v>59</v>
      </c>
      <c r="B18" s="209"/>
      <c r="C18" s="105">
        <v>0.98499999999999999</v>
      </c>
      <c r="D18" s="106">
        <v>1</v>
      </c>
      <c r="E18" s="106">
        <v>1</v>
      </c>
      <c r="F18" s="107">
        <v>0.98</v>
      </c>
      <c r="G18" s="70"/>
      <c r="H18" s="186" t="s">
        <v>38</v>
      </c>
      <c r="I18" s="187"/>
      <c r="J18" s="187"/>
      <c r="K18" s="187"/>
      <c r="L18" s="187"/>
      <c r="M18" s="187"/>
      <c r="N18" s="188"/>
    </row>
    <row r="19" spans="1:19" ht="14.4" thickBot="1" x14ac:dyDescent="0.3">
      <c r="B19" s="70"/>
      <c r="C19" s="70"/>
      <c r="D19" s="70"/>
      <c r="E19" s="70"/>
      <c r="F19" s="70"/>
      <c r="G19" s="85"/>
      <c r="H19" s="189"/>
      <c r="I19" s="190"/>
      <c r="J19" s="190"/>
      <c r="K19" s="190"/>
      <c r="L19" s="190"/>
      <c r="M19" s="190"/>
      <c r="N19" s="191"/>
    </row>
    <row r="20" spans="1:19" s="169" customFormat="1" ht="13.8" x14ac:dyDescent="0.25">
      <c r="B20" s="168"/>
      <c r="C20" s="168"/>
      <c r="D20" s="168"/>
      <c r="E20" s="168"/>
      <c r="F20" s="168"/>
      <c r="G20" s="85"/>
      <c r="H20" s="274"/>
      <c r="I20" s="274"/>
      <c r="J20" s="274"/>
      <c r="K20" s="274"/>
      <c r="L20" s="274"/>
      <c r="M20" s="274"/>
      <c r="N20" s="274"/>
    </row>
    <row r="21" spans="1:19" ht="23.4" customHeight="1" x14ac:dyDescent="0.25">
      <c r="B21" s="109" t="s">
        <v>23</v>
      </c>
      <c r="C21" s="110" t="s">
        <v>24</v>
      </c>
      <c r="D21" s="111"/>
      <c r="E21" s="111"/>
      <c r="F21" s="111"/>
      <c r="H21" s="117"/>
      <c r="I21" s="108"/>
      <c r="J21" s="117"/>
      <c r="K21" s="117"/>
      <c r="L21" s="117"/>
      <c r="M21" s="117"/>
      <c r="N21" s="117"/>
    </row>
    <row r="22" spans="1:19" x14ac:dyDescent="0.25">
      <c r="J22" s="73"/>
      <c r="K22" s="73"/>
      <c r="L22" s="73"/>
      <c r="M22" s="73"/>
      <c r="N22" s="73"/>
    </row>
    <row r="23" spans="1:19" ht="22.5" customHeight="1" x14ac:dyDescent="0.25">
      <c r="A23" s="269" t="s">
        <v>64</v>
      </c>
      <c r="B23" s="267" t="s">
        <v>73</v>
      </c>
      <c r="J23" s="73"/>
      <c r="K23" s="73"/>
      <c r="L23" s="73"/>
      <c r="M23" s="73"/>
      <c r="N23" s="73"/>
    </row>
    <row r="24" spans="1:19" s="169" customFormat="1" ht="22.5" customHeight="1" x14ac:dyDescent="0.25">
      <c r="A24" s="269" t="s">
        <v>65</v>
      </c>
      <c r="B24" s="270" t="s">
        <v>70</v>
      </c>
      <c r="J24" s="73"/>
      <c r="K24" s="73"/>
      <c r="L24" s="73"/>
      <c r="M24" s="73"/>
      <c r="N24" s="73"/>
    </row>
    <row r="25" spans="1:19" s="169" customFormat="1" ht="22.5" customHeight="1" x14ac:dyDescent="0.25">
      <c r="A25" s="269"/>
      <c r="B25" s="270" t="s">
        <v>68</v>
      </c>
      <c r="J25" s="73"/>
      <c r="K25" s="73"/>
      <c r="L25" s="73"/>
      <c r="M25" s="73"/>
      <c r="N25" s="73"/>
    </row>
    <row r="26" spans="1:19" x14ac:dyDescent="0.25">
      <c r="J26" s="73"/>
      <c r="K26" s="73"/>
      <c r="L26" s="73"/>
      <c r="M26" s="73"/>
      <c r="N26" s="73"/>
    </row>
    <row r="27" spans="1:19" ht="18.600000000000001" x14ac:dyDescent="0.25">
      <c r="C27" s="113" t="s">
        <v>35</v>
      </c>
      <c r="D27" s="114" t="s">
        <v>66</v>
      </c>
      <c r="H27" s="73"/>
      <c r="I27" s="73"/>
      <c r="J27" s="73"/>
      <c r="K27" s="73"/>
      <c r="L27" s="73"/>
      <c r="M27" s="73"/>
      <c r="N27" s="73"/>
    </row>
    <row r="28" spans="1:19" ht="18" x14ac:dyDescent="0.25">
      <c r="D28" s="115" t="s">
        <v>74</v>
      </c>
    </row>
  </sheetData>
  <mergeCells count="15">
    <mergeCell ref="A7:A17"/>
    <mergeCell ref="A18:B18"/>
    <mergeCell ref="Q5:S5"/>
    <mergeCell ref="Q10:S10"/>
    <mergeCell ref="Q15:R15"/>
    <mergeCell ref="H18:N19"/>
    <mergeCell ref="H5:H6"/>
    <mergeCell ref="I5:L5"/>
    <mergeCell ref="B1:N1"/>
    <mergeCell ref="B2:N2"/>
    <mergeCell ref="B4:F4"/>
    <mergeCell ref="I4:L4"/>
    <mergeCell ref="N4:N6"/>
    <mergeCell ref="B5:B6"/>
    <mergeCell ref="C5:F5"/>
  </mergeCells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S28"/>
  <sheetViews>
    <sheetView showGridLines="0" workbookViewId="0">
      <selection activeCell="D29" sqref="D29"/>
    </sheetView>
  </sheetViews>
  <sheetFormatPr defaultColWidth="9.109375" defaultRowHeight="13.2" x14ac:dyDescent="0.25"/>
  <cols>
    <col min="1" max="1" width="11.77734375" style="160" customWidth="1"/>
    <col min="2" max="2" width="15.109375" style="69" customWidth="1"/>
    <col min="3" max="6" width="9.77734375" style="69" customWidth="1"/>
    <col min="7" max="7" width="3.44140625" style="69" customWidth="1"/>
    <col min="8" max="8" width="13.6640625" style="69" customWidth="1"/>
    <col min="9" max="12" width="9.109375" style="69"/>
    <col min="13" max="13" width="2.5546875" style="69" customWidth="1"/>
    <col min="14" max="16" width="9.109375" style="69"/>
    <col min="17" max="17" width="14.88671875" style="69" customWidth="1"/>
    <col min="18" max="18" width="14.5546875" style="69" customWidth="1"/>
    <col min="19" max="19" width="14" style="69" customWidth="1"/>
    <col min="20" max="16384" width="9.109375" style="69"/>
  </cols>
  <sheetData>
    <row r="1" spans="1:19" ht="30" customHeight="1" x14ac:dyDescent="0.25">
      <c r="B1" s="240" t="s">
        <v>26</v>
      </c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</row>
    <row r="2" spans="1:19" ht="29.4" customHeight="1" thickBot="1" x14ac:dyDescent="0.3">
      <c r="B2" s="242" t="s">
        <v>19</v>
      </c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</row>
    <row r="3" spans="1:19" ht="21" customHeight="1" thickBot="1" x14ac:dyDescent="0.3">
      <c r="Q3" s="244" t="s">
        <v>40</v>
      </c>
      <c r="R3" s="245" t="s">
        <v>46</v>
      </c>
      <c r="S3" s="246"/>
    </row>
    <row r="4" spans="1:19" ht="24" customHeight="1" thickBot="1" x14ac:dyDescent="0.3">
      <c r="B4" s="192" t="s">
        <v>20</v>
      </c>
      <c r="C4" s="193"/>
      <c r="D4" s="193"/>
      <c r="E4" s="193"/>
      <c r="F4" s="194"/>
      <c r="G4" s="70"/>
      <c r="H4" s="71"/>
      <c r="I4" s="195" t="s">
        <v>21</v>
      </c>
      <c r="J4" s="193"/>
      <c r="K4" s="193"/>
      <c r="L4" s="194"/>
      <c r="M4" s="72"/>
      <c r="N4" s="196" t="s">
        <v>22</v>
      </c>
      <c r="Q4" s="263"/>
      <c r="R4" s="117"/>
      <c r="S4" s="264"/>
    </row>
    <row r="5" spans="1:19" ht="18" customHeight="1" thickBot="1" x14ac:dyDescent="0.3">
      <c r="B5" s="199" t="s">
        <v>37</v>
      </c>
      <c r="C5" s="201" t="s">
        <v>42</v>
      </c>
      <c r="D5" s="202"/>
      <c r="E5" s="202"/>
      <c r="F5" s="203"/>
      <c r="G5" s="70"/>
      <c r="H5" s="199" t="s">
        <v>36</v>
      </c>
      <c r="I5" s="271" t="s">
        <v>71</v>
      </c>
      <c r="J5" s="272"/>
      <c r="K5" s="272"/>
      <c r="L5" s="273"/>
      <c r="M5" s="70"/>
      <c r="N5" s="197"/>
      <c r="Q5" s="184" t="s">
        <v>41</v>
      </c>
      <c r="R5" s="205"/>
      <c r="S5" s="206"/>
    </row>
    <row r="6" spans="1:19" ht="21" customHeight="1" thickBot="1" x14ac:dyDescent="0.3">
      <c r="B6" s="200"/>
      <c r="C6" s="74">
        <v>6</v>
      </c>
      <c r="D6" s="75">
        <v>10</v>
      </c>
      <c r="E6" s="75">
        <v>15</v>
      </c>
      <c r="F6" s="76">
        <v>20</v>
      </c>
      <c r="G6" s="70"/>
      <c r="H6" s="204"/>
      <c r="I6" s="77">
        <v>100</v>
      </c>
      <c r="J6" s="78">
        <v>105</v>
      </c>
      <c r="K6" s="78">
        <v>110</v>
      </c>
      <c r="L6" s="79">
        <v>115</v>
      </c>
      <c r="M6" s="80"/>
      <c r="N6" s="198"/>
      <c r="Q6" s="128" t="s">
        <v>43</v>
      </c>
      <c r="R6" s="129" t="s">
        <v>44</v>
      </c>
      <c r="S6" s="130" t="s">
        <v>45</v>
      </c>
    </row>
    <row r="7" spans="1:19" ht="18" customHeight="1" thickBot="1" x14ac:dyDescent="0.3">
      <c r="A7" s="275" t="s">
        <v>72</v>
      </c>
      <c r="B7" s="81">
        <v>2</v>
      </c>
      <c r="C7" s="82">
        <v>0.91</v>
      </c>
      <c r="D7" s="83">
        <v>0.91</v>
      </c>
      <c r="E7" s="83"/>
      <c r="F7" s="84"/>
      <c r="G7" s="85"/>
      <c r="H7" s="86">
        <v>2</v>
      </c>
      <c r="I7" s="87">
        <v>1</v>
      </c>
      <c r="J7" s="83">
        <v>0.92300000000000004</v>
      </c>
      <c r="K7" s="83">
        <v>0.84599999999999997</v>
      </c>
      <c r="L7" s="84">
        <v>0.76900000000000002</v>
      </c>
      <c r="M7" s="127">
        <f>H7</f>
        <v>2</v>
      </c>
      <c r="N7" s="88">
        <v>48.9</v>
      </c>
      <c r="Q7" s="157">
        <v>10</v>
      </c>
      <c r="R7" s="158">
        <v>5</v>
      </c>
      <c r="S7" s="131">
        <f>IF(Interpolate2DTable(R7,Q7,$B$6:$F$17)&gt;0,Interpolate2DTable(R7,Q7,$B$6:$F$17),"")</f>
        <v>1</v>
      </c>
    </row>
    <row r="8" spans="1:19" ht="18" customHeight="1" x14ac:dyDescent="0.25">
      <c r="A8" s="276"/>
      <c r="B8" s="89">
        <v>3</v>
      </c>
      <c r="C8" s="90">
        <v>0.95</v>
      </c>
      <c r="D8" s="91">
        <v>0.95</v>
      </c>
      <c r="E8" s="91">
        <v>0.92200000000000004</v>
      </c>
      <c r="F8" s="92">
        <v>0.92200000000000004</v>
      </c>
      <c r="G8" s="85"/>
      <c r="H8" s="93">
        <v>3</v>
      </c>
      <c r="I8" s="94">
        <v>1</v>
      </c>
      <c r="J8" s="91">
        <v>0.95199999999999996</v>
      </c>
      <c r="K8" s="91">
        <v>0.90400000000000003</v>
      </c>
      <c r="L8" s="92">
        <v>0.85599999999999998</v>
      </c>
      <c r="M8" s="127">
        <f t="shared" ref="M8:M17" si="0">H8</f>
        <v>3</v>
      </c>
      <c r="N8" s="95">
        <v>63</v>
      </c>
      <c r="Q8" s="263"/>
      <c r="R8" s="117"/>
      <c r="S8" s="264"/>
    </row>
    <row r="9" spans="1:19" ht="18" customHeight="1" thickBot="1" x14ac:dyDescent="0.3">
      <c r="A9" s="276"/>
      <c r="B9" s="89">
        <v>4</v>
      </c>
      <c r="C9" s="90">
        <v>0.97</v>
      </c>
      <c r="D9" s="91">
        <v>0.97</v>
      </c>
      <c r="E9" s="91">
        <v>0.96</v>
      </c>
      <c r="F9" s="92">
        <v>0.96</v>
      </c>
      <c r="G9" s="85"/>
      <c r="H9" s="93">
        <v>4</v>
      </c>
      <c r="I9" s="94">
        <v>1</v>
      </c>
      <c r="J9" s="91">
        <v>0.97199999999999998</v>
      </c>
      <c r="K9" s="91">
        <v>0.94399999999999995</v>
      </c>
      <c r="L9" s="92">
        <v>0.91600000000000004</v>
      </c>
      <c r="M9" s="127">
        <f t="shared" si="0"/>
        <v>4</v>
      </c>
      <c r="N9" s="95">
        <v>76.2</v>
      </c>
      <c r="Q9" s="263"/>
      <c r="R9" s="117"/>
      <c r="S9" s="264"/>
    </row>
    <row r="10" spans="1:19" ht="18" customHeight="1" thickBot="1" x14ac:dyDescent="0.3">
      <c r="A10" s="276"/>
      <c r="B10" s="89">
        <v>5</v>
      </c>
      <c r="C10" s="90">
        <v>1</v>
      </c>
      <c r="D10" s="91">
        <v>1</v>
      </c>
      <c r="E10" s="91">
        <v>1</v>
      </c>
      <c r="F10" s="92">
        <v>1</v>
      </c>
      <c r="G10" s="85"/>
      <c r="H10" s="93">
        <v>5</v>
      </c>
      <c r="I10" s="94">
        <v>1</v>
      </c>
      <c r="J10" s="91">
        <v>0.97399999999999998</v>
      </c>
      <c r="K10" s="91">
        <v>0.94899999999999995</v>
      </c>
      <c r="L10" s="92">
        <v>0.92300000000000004</v>
      </c>
      <c r="M10" s="127">
        <f t="shared" si="0"/>
        <v>5</v>
      </c>
      <c r="N10" s="95">
        <v>78</v>
      </c>
      <c r="Q10" s="207" t="s">
        <v>48</v>
      </c>
      <c r="R10" s="205"/>
      <c r="S10" s="206"/>
    </row>
    <row r="11" spans="1:19" ht="18" customHeight="1" thickBot="1" x14ac:dyDescent="0.3">
      <c r="A11" s="276"/>
      <c r="B11" s="89">
        <v>6</v>
      </c>
      <c r="C11" s="90">
        <v>1</v>
      </c>
      <c r="D11" s="91">
        <v>1</v>
      </c>
      <c r="E11" s="91">
        <v>1</v>
      </c>
      <c r="F11" s="92">
        <v>1.01</v>
      </c>
      <c r="G11" s="85"/>
      <c r="H11" s="93">
        <v>6</v>
      </c>
      <c r="I11" s="94">
        <v>1</v>
      </c>
      <c r="J11" s="91">
        <v>0.98399999999999999</v>
      </c>
      <c r="K11" s="91">
        <v>0.96799999999999997</v>
      </c>
      <c r="L11" s="92">
        <v>0.95199999999999996</v>
      </c>
      <c r="M11" s="127">
        <f t="shared" si="0"/>
        <v>6</v>
      </c>
      <c r="N11" s="95">
        <v>86.1</v>
      </c>
      <c r="Q11" s="128" t="s">
        <v>49</v>
      </c>
      <c r="R11" s="129" t="s">
        <v>50</v>
      </c>
      <c r="S11" s="132" t="s">
        <v>48</v>
      </c>
    </row>
    <row r="12" spans="1:19" ht="18" customHeight="1" thickBot="1" x14ac:dyDescent="0.3">
      <c r="A12" s="276"/>
      <c r="B12" s="89">
        <v>7</v>
      </c>
      <c r="C12" s="90"/>
      <c r="D12" s="91">
        <v>1</v>
      </c>
      <c r="E12" s="91">
        <v>1</v>
      </c>
      <c r="F12" s="92">
        <v>1.01</v>
      </c>
      <c r="G12" s="85"/>
      <c r="H12" s="93">
        <v>7</v>
      </c>
      <c r="I12" s="94">
        <v>1</v>
      </c>
      <c r="J12" s="91">
        <v>0.98699999999999999</v>
      </c>
      <c r="K12" s="91">
        <v>0.97399999999999998</v>
      </c>
      <c r="L12" s="92">
        <v>0.96099999999999997</v>
      </c>
      <c r="M12" s="127">
        <f t="shared" si="0"/>
        <v>7</v>
      </c>
      <c r="N12" s="95">
        <v>88.8</v>
      </c>
      <c r="Q12" s="157">
        <v>10</v>
      </c>
      <c r="R12" s="158">
        <v>105</v>
      </c>
      <c r="S12" s="131">
        <f>Interpolate2DTable(Q12,R12,$H$6:$L$17)</f>
        <v>0.98599999999999999</v>
      </c>
    </row>
    <row r="13" spans="1:19" ht="18" customHeight="1" x14ac:dyDescent="0.25">
      <c r="A13" s="276"/>
      <c r="B13" s="89">
        <v>8</v>
      </c>
      <c r="C13" s="90"/>
      <c r="D13" s="91">
        <v>1</v>
      </c>
      <c r="E13" s="91">
        <v>1.01</v>
      </c>
      <c r="F13" s="92">
        <v>1.02</v>
      </c>
      <c r="G13" s="85"/>
      <c r="H13" s="93">
        <v>8</v>
      </c>
      <c r="I13" s="94">
        <v>1</v>
      </c>
      <c r="J13" s="91">
        <v>0.98599999999999999</v>
      </c>
      <c r="K13" s="91">
        <v>0.97199999999999998</v>
      </c>
      <c r="L13" s="92">
        <v>0.95799999999999996</v>
      </c>
      <c r="M13" s="127">
        <f t="shared" si="0"/>
        <v>8</v>
      </c>
      <c r="N13" s="95">
        <v>87.8</v>
      </c>
      <c r="Q13" s="263"/>
      <c r="R13" s="117"/>
      <c r="S13" s="264"/>
    </row>
    <row r="14" spans="1:19" ht="18" customHeight="1" thickBot="1" x14ac:dyDescent="0.3">
      <c r="A14" s="276"/>
      <c r="B14" s="89">
        <v>10</v>
      </c>
      <c r="C14" s="90"/>
      <c r="D14" s="91">
        <v>1</v>
      </c>
      <c r="E14" s="91">
        <v>1.01</v>
      </c>
      <c r="F14" s="92">
        <v>1.02</v>
      </c>
      <c r="G14" s="85"/>
      <c r="H14" s="93">
        <v>10</v>
      </c>
      <c r="I14" s="94">
        <v>1</v>
      </c>
      <c r="J14" s="91">
        <v>0.98599999999999999</v>
      </c>
      <c r="K14" s="91">
        <v>0.97299999999999998</v>
      </c>
      <c r="L14" s="92">
        <v>0.95899999999999996</v>
      </c>
      <c r="M14" s="127">
        <f t="shared" si="0"/>
        <v>10</v>
      </c>
      <c r="N14" s="95">
        <v>88.3</v>
      </c>
      <c r="Q14" s="263"/>
      <c r="R14" s="117"/>
      <c r="S14" s="264"/>
    </row>
    <row r="15" spans="1:19" ht="18" customHeight="1" thickBot="1" x14ac:dyDescent="0.3">
      <c r="A15" s="276"/>
      <c r="B15" s="89">
        <v>12</v>
      </c>
      <c r="C15" s="90"/>
      <c r="D15" s="91"/>
      <c r="E15" s="91">
        <v>1.01</v>
      </c>
      <c r="F15" s="92">
        <v>1.02</v>
      </c>
      <c r="G15" s="85"/>
      <c r="H15" s="93">
        <v>12</v>
      </c>
      <c r="I15" s="94">
        <v>1</v>
      </c>
      <c r="J15" s="91">
        <v>0.98799999999999999</v>
      </c>
      <c r="K15" s="91">
        <v>0.97499999999999998</v>
      </c>
      <c r="L15" s="92">
        <v>0.96299999999999997</v>
      </c>
      <c r="M15" s="127">
        <f t="shared" si="0"/>
        <v>12</v>
      </c>
      <c r="N15" s="95">
        <v>89.5</v>
      </c>
      <c r="Q15" s="184" t="s">
        <v>51</v>
      </c>
      <c r="R15" s="185"/>
      <c r="S15" s="265"/>
    </row>
    <row r="16" spans="1:19" ht="18" customHeight="1" thickBot="1" x14ac:dyDescent="0.3">
      <c r="A16" s="276"/>
      <c r="B16" s="89">
        <v>15</v>
      </c>
      <c r="C16" s="90"/>
      <c r="D16" s="91"/>
      <c r="E16" s="91">
        <v>1</v>
      </c>
      <c r="F16" s="92">
        <v>1.01</v>
      </c>
      <c r="G16" s="85"/>
      <c r="H16" s="93">
        <v>15</v>
      </c>
      <c r="I16" s="94">
        <v>1</v>
      </c>
      <c r="J16" s="91">
        <v>0.98899999999999999</v>
      </c>
      <c r="K16" s="91">
        <v>0.97799999999999998</v>
      </c>
      <c r="L16" s="92">
        <v>0.96799999999999997</v>
      </c>
      <c r="M16" s="127">
        <f t="shared" si="0"/>
        <v>15</v>
      </c>
      <c r="N16" s="95">
        <v>91.1</v>
      </c>
      <c r="Q16" s="128" t="s">
        <v>49</v>
      </c>
      <c r="R16" s="130" t="s">
        <v>39</v>
      </c>
      <c r="S16" s="264"/>
    </row>
    <row r="17" spans="1:19" ht="18" customHeight="1" thickBot="1" x14ac:dyDescent="0.3">
      <c r="A17" s="276"/>
      <c r="B17" s="96">
        <v>20</v>
      </c>
      <c r="C17" s="97"/>
      <c r="D17" s="98"/>
      <c r="E17" s="98"/>
      <c r="F17" s="99">
        <v>1</v>
      </c>
      <c r="G17" s="85"/>
      <c r="H17" s="100">
        <v>20</v>
      </c>
      <c r="I17" s="101">
        <v>1</v>
      </c>
      <c r="J17" s="102">
        <v>0.98899999999999999</v>
      </c>
      <c r="K17" s="102">
        <v>0.97799999999999998</v>
      </c>
      <c r="L17" s="103">
        <v>0.96699999999999997</v>
      </c>
      <c r="M17" s="127">
        <f t="shared" si="0"/>
        <v>20</v>
      </c>
      <c r="N17" s="104">
        <v>91</v>
      </c>
      <c r="Q17" s="157">
        <v>10</v>
      </c>
      <c r="R17" s="133">
        <f>Interpolate1DTable(Q17,$M$7:$N$17)</f>
        <v>88.3</v>
      </c>
      <c r="S17" s="266"/>
    </row>
    <row r="18" spans="1:19" ht="30.75" customHeight="1" thickBot="1" x14ac:dyDescent="0.3">
      <c r="A18" s="208" t="s">
        <v>59</v>
      </c>
      <c r="B18" s="209"/>
      <c r="C18" s="105">
        <v>0.98499999999999999</v>
      </c>
      <c r="D18" s="106">
        <v>1</v>
      </c>
      <c r="E18" s="106">
        <v>0.99</v>
      </c>
      <c r="F18" s="107">
        <v>0.97</v>
      </c>
      <c r="G18" s="70"/>
      <c r="H18" s="186" t="s">
        <v>38</v>
      </c>
      <c r="I18" s="187"/>
      <c r="J18" s="187"/>
      <c r="K18" s="187"/>
      <c r="L18" s="187"/>
      <c r="M18" s="187"/>
      <c r="N18" s="188"/>
    </row>
    <row r="19" spans="1:19" ht="14.4" thickBot="1" x14ac:dyDescent="0.3">
      <c r="B19" s="70"/>
      <c r="C19" s="70"/>
      <c r="D19" s="70"/>
      <c r="E19" s="70"/>
      <c r="F19" s="70"/>
      <c r="G19" s="85"/>
      <c r="H19" s="189"/>
      <c r="I19" s="190"/>
      <c r="J19" s="190"/>
      <c r="K19" s="190"/>
      <c r="L19" s="190"/>
      <c r="M19" s="190"/>
      <c r="N19" s="191"/>
    </row>
    <row r="20" spans="1:19" s="169" customFormat="1" ht="13.8" x14ac:dyDescent="0.25">
      <c r="B20" s="168"/>
      <c r="C20" s="168"/>
      <c r="D20" s="168"/>
      <c r="E20" s="168"/>
      <c r="F20" s="168"/>
      <c r="G20" s="85"/>
      <c r="H20" s="274"/>
      <c r="I20" s="274"/>
      <c r="J20" s="274"/>
      <c r="K20" s="274"/>
      <c r="L20" s="274"/>
      <c r="M20" s="274"/>
      <c r="N20" s="274"/>
    </row>
    <row r="21" spans="1:19" ht="23.4" customHeight="1" x14ac:dyDescent="0.25">
      <c r="B21" s="109" t="s">
        <v>23</v>
      </c>
      <c r="C21" s="110" t="s">
        <v>24</v>
      </c>
      <c r="D21" s="111"/>
      <c r="E21" s="111"/>
      <c r="F21" s="111"/>
      <c r="H21" s="117"/>
      <c r="I21" s="108"/>
      <c r="J21" s="117"/>
      <c r="K21" s="117"/>
      <c r="L21" s="117"/>
      <c r="M21" s="117"/>
      <c r="N21" s="117"/>
    </row>
    <row r="22" spans="1:19" x14ac:dyDescent="0.25">
      <c r="J22" s="73"/>
      <c r="K22" s="73"/>
      <c r="L22" s="73"/>
      <c r="M22" s="73"/>
      <c r="N22" s="73"/>
    </row>
    <row r="23" spans="1:19" ht="22.5" customHeight="1" x14ac:dyDescent="0.25">
      <c r="A23" s="269" t="s">
        <v>64</v>
      </c>
      <c r="B23" s="267" t="s">
        <v>73</v>
      </c>
      <c r="J23" s="73"/>
      <c r="K23" s="73"/>
      <c r="L23" s="73"/>
      <c r="M23" s="73"/>
      <c r="N23" s="73"/>
    </row>
    <row r="24" spans="1:19" s="169" customFormat="1" ht="22.5" customHeight="1" x14ac:dyDescent="0.25">
      <c r="A24" s="269" t="s">
        <v>65</v>
      </c>
      <c r="B24" s="270" t="s">
        <v>70</v>
      </c>
      <c r="J24" s="73"/>
      <c r="K24" s="73"/>
      <c r="L24" s="73"/>
      <c r="M24" s="73"/>
      <c r="N24" s="73"/>
    </row>
    <row r="25" spans="1:19" s="169" customFormat="1" ht="22.5" customHeight="1" x14ac:dyDescent="0.25">
      <c r="A25" s="269"/>
      <c r="B25" s="270" t="s">
        <v>68</v>
      </c>
      <c r="J25" s="73"/>
      <c r="K25" s="73"/>
      <c r="L25" s="73"/>
      <c r="M25" s="73"/>
      <c r="N25" s="73"/>
    </row>
    <row r="26" spans="1:19" x14ac:dyDescent="0.25">
      <c r="J26" s="73"/>
      <c r="K26" s="73"/>
      <c r="L26" s="73"/>
      <c r="M26" s="73"/>
      <c r="N26" s="73"/>
    </row>
    <row r="27" spans="1:19" ht="18.600000000000001" x14ac:dyDescent="0.25">
      <c r="C27" s="113" t="s">
        <v>35</v>
      </c>
      <c r="D27" s="114" t="s">
        <v>66</v>
      </c>
      <c r="H27" s="73"/>
      <c r="I27" s="73"/>
      <c r="J27" s="73"/>
      <c r="K27" s="73"/>
      <c r="L27" s="73"/>
      <c r="M27" s="73"/>
      <c r="N27" s="73"/>
    </row>
    <row r="28" spans="1:19" ht="18" x14ac:dyDescent="0.25">
      <c r="D28" s="115" t="s">
        <v>74</v>
      </c>
    </row>
  </sheetData>
  <mergeCells count="15">
    <mergeCell ref="A7:A17"/>
    <mergeCell ref="A18:B18"/>
    <mergeCell ref="Q5:S5"/>
    <mergeCell ref="Q10:S10"/>
    <mergeCell ref="Q15:R15"/>
    <mergeCell ref="H18:N19"/>
    <mergeCell ref="H5:H6"/>
    <mergeCell ref="I5:L5"/>
    <mergeCell ref="B1:N1"/>
    <mergeCell ref="B2:N2"/>
    <mergeCell ref="B4:F4"/>
    <mergeCell ref="I4:L4"/>
    <mergeCell ref="N4:N6"/>
    <mergeCell ref="B5:B6"/>
    <mergeCell ref="C5:F5"/>
  </mergeCells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S28"/>
  <sheetViews>
    <sheetView showGridLines="0" workbookViewId="0">
      <selection activeCell="D29" sqref="D29"/>
    </sheetView>
  </sheetViews>
  <sheetFormatPr defaultColWidth="9.109375" defaultRowHeight="13.2" x14ac:dyDescent="0.25"/>
  <cols>
    <col min="1" max="1" width="11.77734375" style="160" customWidth="1"/>
    <col min="2" max="2" width="15.109375" style="69" customWidth="1"/>
    <col min="3" max="6" width="9.77734375" style="69" customWidth="1"/>
    <col min="7" max="7" width="3.44140625" style="69" customWidth="1"/>
    <col min="8" max="8" width="13.6640625" style="69" customWidth="1"/>
    <col min="9" max="12" width="9.109375" style="69"/>
    <col min="13" max="13" width="2.5546875" style="69" customWidth="1"/>
    <col min="14" max="16" width="9.109375" style="69"/>
    <col min="17" max="17" width="14.88671875" style="69" customWidth="1"/>
    <col min="18" max="18" width="14.5546875" style="69" customWidth="1"/>
    <col min="19" max="19" width="14" style="69" customWidth="1"/>
    <col min="20" max="16384" width="9.109375" style="69"/>
  </cols>
  <sheetData>
    <row r="1" spans="1:19" ht="30" customHeight="1" x14ac:dyDescent="0.25">
      <c r="B1" s="240" t="s">
        <v>27</v>
      </c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</row>
    <row r="2" spans="1:19" ht="29.4" customHeight="1" thickBot="1" x14ac:dyDescent="0.3">
      <c r="B2" s="242" t="s">
        <v>19</v>
      </c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</row>
    <row r="3" spans="1:19" ht="21" customHeight="1" thickBot="1" x14ac:dyDescent="0.3">
      <c r="Q3" s="244" t="s">
        <v>40</v>
      </c>
      <c r="R3" s="245" t="s">
        <v>46</v>
      </c>
      <c r="S3" s="246"/>
    </row>
    <row r="4" spans="1:19" ht="24" customHeight="1" thickBot="1" x14ac:dyDescent="0.3">
      <c r="B4" s="192" t="s">
        <v>20</v>
      </c>
      <c r="C4" s="193"/>
      <c r="D4" s="193"/>
      <c r="E4" s="193"/>
      <c r="F4" s="194"/>
      <c r="G4" s="70"/>
      <c r="H4" s="71"/>
      <c r="I4" s="195" t="s">
        <v>21</v>
      </c>
      <c r="J4" s="193"/>
      <c r="K4" s="193"/>
      <c r="L4" s="194"/>
      <c r="M4" s="72"/>
      <c r="N4" s="196" t="s">
        <v>22</v>
      </c>
      <c r="Q4" s="263"/>
      <c r="R4" s="117"/>
      <c r="S4" s="264"/>
    </row>
    <row r="5" spans="1:19" ht="18" customHeight="1" thickBot="1" x14ac:dyDescent="0.3">
      <c r="B5" s="199" t="s">
        <v>37</v>
      </c>
      <c r="C5" s="201" t="s">
        <v>42</v>
      </c>
      <c r="D5" s="202"/>
      <c r="E5" s="202"/>
      <c r="F5" s="203"/>
      <c r="G5" s="70"/>
      <c r="H5" s="199" t="s">
        <v>36</v>
      </c>
      <c r="I5" s="271" t="s">
        <v>71</v>
      </c>
      <c r="J5" s="272"/>
      <c r="K5" s="272"/>
      <c r="L5" s="273"/>
      <c r="M5" s="70"/>
      <c r="N5" s="197"/>
      <c r="Q5" s="184" t="s">
        <v>41</v>
      </c>
      <c r="R5" s="205"/>
      <c r="S5" s="206"/>
    </row>
    <row r="6" spans="1:19" ht="21" customHeight="1" thickBot="1" x14ac:dyDescent="0.3">
      <c r="B6" s="200"/>
      <c r="C6" s="74">
        <v>6</v>
      </c>
      <c r="D6" s="75">
        <v>10</v>
      </c>
      <c r="E6" s="75">
        <v>15</v>
      </c>
      <c r="F6" s="76">
        <v>20</v>
      </c>
      <c r="G6" s="70"/>
      <c r="H6" s="204"/>
      <c r="I6" s="77">
        <v>100</v>
      </c>
      <c r="J6" s="78">
        <v>105</v>
      </c>
      <c r="K6" s="78">
        <v>110</v>
      </c>
      <c r="L6" s="79">
        <v>115</v>
      </c>
      <c r="M6" s="80"/>
      <c r="N6" s="198"/>
      <c r="Q6" s="128" t="s">
        <v>43</v>
      </c>
      <c r="R6" s="129" t="s">
        <v>44</v>
      </c>
      <c r="S6" s="130" t="s">
        <v>45</v>
      </c>
    </row>
    <row r="7" spans="1:19" ht="18" customHeight="1" thickBot="1" x14ac:dyDescent="0.3">
      <c r="A7" s="275" t="s">
        <v>72</v>
      </c>
      <c r="B7" s="81">
        <v>2</v>
      </c>
      <c r="C7" s="82">
        <v>0.96</v>
      </c>
      <c r="D7" s="83">
        <v>0.96</v>
      </c>
      <c r="E7" s="83"/>
      <c r="F7" s="84"/>
      <c r="G7" s="85"/>
      <c r="H7" s="86">
        <v>2</v>
      </c>
      <c r="I7" s="87">
        <v>1</v>
      </c>
      <c r="J7" s="83">
        <v>0.94399999999999995</v>
      </c>
      <c r="K7" s="83">
        <v>0.88900000000000001</v>
      </c>
      <c r="L7" s="84">
        <v>0.83299999999999996</v>
      </c>
      <c r="M7" s="127">
        <f>H7</f>
        <v>2</v>
      </c>
      <c r="N7" s="88">
        <v>58.9</v>
      </c>
      <c r="Q7" s="157">
        <v>10</v>
      </c>
      <c r="R7" s="158">
        <v>5</v>
      </c>
      <c r="S7" s="131">
        <f>IF(Interpolate2DTable(R7,Q7,$B$6:$F$17)&gt;0,Interpolate2DTable(R7,Q7,$B$6:$F$17),"")</f>
        <v>1</v>
      </c>
    </row>
    <row r="8" spans="1:19" ht="18" customHeight="1" x14ac:dyDescent="0.25">
      <c r="A8" s="276"/>
      <c r="B8" s="89">
        <v>3</v>
      </c>
      <c r="C8" s="90">
        <v>0.98499999999999999</v>
      </c>
      <c r="D8" s="91">
        <v>0.98499999999999999</v>
      </c>
      <c r="E8" s="91">
        <v>0.97</v>
      </c>
      <c r="F8" s="92">
        <v>0.98</v>
      </c>
      <c r="G8" s="85"/>
      <c r="H8" s="93">
        <v>3</v>
      </c>
      <c r="I8" s="94">
        <v>1</v>
      </c>
      <c r="J8" s="91">
        <v>0.96199999999999997</v>
      </c>
      <c r="K8" s="91">
        <v>0.92400000000000004</v>
      </c>
      <c r="L8" s="92">
        <v>0.88600000000000001</v>
      </c>
      <c r="M8" s="127">
        <f t="shared" ref="M8:M17" si="0">H8</f>
        <v>3</v>
      </c>
      <c r="N8" s="95">
        <v>69</v>
      </c>
      <c r="Q8" s="263"/>
      <c r="R8" s="117"/>
      <c r="S8" s="264"/>
    </row>
    <row r="9" spans="1:19" ht="18" customHeight="1" thickBot="1" x14ac:dyDescent="0.3">
      <c r="A9" s="276"/>
      <c r="B9" s="89">
        <v>4</v>
      </c>
      <c r="C9" s="90">
        <v>0.99</v>
      </c>
      <c r="D9" s="91">
        <v>0.99</v>
      </c>
      <c r="E9" s="91">
        <v>0.99</v>
      </c>
      <c r="F9" s="92">
        <v>0.99</v>
      </c>
      <c r="G9" s="85"/>
      <c r="H9" s="93">
        <v>4</v>
      </c>
      <c r="I9" s="94">
        <v>1</v>
      </c>
      <c r="J9" s="91">
        <v>0.97499999999999998</v>
      </c>
      <c r="K9" s="91">
        <v>0.95</v>
      </c>
      <c r="L9" s="92">
        <v>0.92500000000000004</v>
      </c>
      <c r="M9" s="127">
        <f t="shared" si="0"/>
        <v>4</v>
      </c>
      <c r="N9" s="95">
        <v>78.5</v>
      </c>
      <c r="Q9" s="263"/>
      <c r="R9" s="117"/>
      <c r="S9" s="264"/>
    </row>
    <row r="10" spans="1:19" ht="18" customHeight="1" thickBot="1" x14ac:dyDescent="0.3">
      <c r="A10" s="276"/>
      <c r="B10" s="89">
        <v>5</v>
      </c>
      <c r="C10" s="90">
        <v>1</v>
      </c>
      <c r="D10" s="91">
        <v>1</v>
      </c>
      <c r="E10" s="91">
        <v>1</v>
      </c>
      <c r="F10" s="92">
        <v>1</v>
      </c>
      <c r="G10" s="85"/>
      <c r="H10" s="93">
        <v>5</v>
      </c>
      <c r="I10" s="94">
        <v>1</v>
      </c>
      <c r="J10" s="91">
        <v>0.97799999999999998</v>
      </c>
      <c r="K10" s="91">
        <v>0.95699999999999996</v>
      </c>
      <c r="L10" s="92">
        <v>0.93500000000000005</v>
      </c>
      <c r="M10" s="127">
        <f t="shared" si="0"/>
        <v>5</v>
      </c>
      <c r="N10" s="95">
        <v>81.099999999999994</v>
      </c>
      <c r="Q10" s="207" t="s">
        <v>48</v>
      </c>
      <c r="R10" s="205"/>
      <c r="S10" s="206"/>
    </row>
    <row r="11" spans="1:19" ht="18" customHeight="1" thickBot="1" x14ac:dyDescent="0.3">
      <c r="A11" s="276"/>
      <c r="B11" s="89">
        <v>6</v>
      </c>
      <c r="C11" s="90">
        <v>1</v>
      </c>
      <c r="D11" s="91">
        <v>1</v>
      </c>
      <c r="E11" s="91">
        <v>1.01</v>
      </c>
      <c r="F11" s="92">
        <v>1.01</v>
      </c>
      <c r="G11" s="85"/>
      <c r="H11" s="93">
        <v>6</v>
      </c>
      <c r="I11" s="94">
        <v>1</v>
      </c>
      <c r="J11" s="91">
        <v>0.98499999999999999</v>
      </c>
      <c r="K11" s="91">
        <v>0.97</v>
      </c>
      <c r="L11" s="92">
        <v>0.95499999999999996</v>
      </c>
      <c r="M11" s="127">
        <f t="shared" si="0"/>
        <v>6</v>
      </c>
      <c r="N11" s="95">
        <v>87.1</v>
      </c>
      <c r="Q11" s="128" t="s">
        <v>49</v>
      </c>
      <c r="R11" s="129" t="s">
        <v>50</v>
      </c>
      <c r="S11" s="132" t="s">
        <v>48</v>
      </c>
    </row>
    <row r="12" spans="1:19" ht="18" customHeight="1" thickBot="1" x14ac:dyDescent="0.3">
      <c r="A12" s="276"/>
      <c r="B12" s="89">
        <v>7</v>
      </c>
      <c r="C12" s="90"/>
      <c r="D12" s="91">
        <v>1</v>
      </c>
      <c r="E12" s="91">
        <v>1.01</v>
      </c>
      <c r="F12" s="92">
        <v>1.02</v>
      </c>
      <c r="G12" s="85"/>
      <c r="H12" s="93">
        <v>7</v>
      </c>
      <c r="I12" s="94">
        <v>1</v>
      </c>
      <c r="J12" s="91">
        <v>0.98499999999999999</v>
      </c>
      <c r="K12" s="91">
        <v>0.97099999999999997</v>
      </c>
      <c r="L12" s="92">
        <v>0.95599999999999996</v>
      </c>
      <c r="M12" s="127">
        <f t="shared" si="0"/>
        <v>7</v>
      </c>
      <c r="N12" s="95">
        <v>87.3</v>
      </c>
      <c r="Q12" s="157">
        <v>10</v>
      </c>
      <c r="R12" s="158">
        <v>105</v>
      </c>
      <c r="S12" s="131">
        <f>Interpolate2DTable(Q12,R12,$H$6:$L$17)</f>
        <v>0.98499999999999999</v>
      </c>
    </row>
    <row r="13" spans="1:19" ht="18" customHeight="1" x14ac:dyDescent="0.25">
      <c r="A13" s="276"/>
      <c r="B13" s="89">
        <v>8</v>
      </c>
      <c r="C13" s="90"/>
      <c r="D13" s="91">
        <v>1</v>
      </c>
      <c r="E13" s="91">
        <v>1.01</v>
      </c>
      <c r="F13" s="92">
        <v>1.02</v>
      </c>
      <c r="G13" s="85"/>
      <c r="H13" s="93">
        <v>8</v>
      </c>
      <c r="I13" s="94">
        <v>1</v>
      </c>
      <c r="J13" s="91">
        <v>0.98499999999999999</v>
      </c>
      <c r="K13" s="91">
        <v>0.97099999999999997</v>
      </c>
      <c r="L13" s="92">
        <v>0.95599999999999996</v>
      </c>
      <c r="M13" s="127">
        <f t="shared" si="0"/>
        <v>8</v>
      </c>
      <c r="N13" s="95">
        <v>87.3</v>
      </c>
      <c r="Q13" s="263"/>
      <c r="R13" s="117"/>
      <c r="S13" s="264"/>
    </row>
    <row r="14" spans="1:19" ht="18" customHeight="1" thickBot="1" x14ac:dyDescent="0.3">
      <c r="A14" s="276"/>
      <c r="B14" s="89">
        <v>10</v>
      </c>
      <c r="C14" s="90"/>
      <c r="D14" s="91">
        <v>1</v>
      </c>
      <c r="E14" s="91">
        <v>1.01</v>
      </c>
      <c r="F14" s="92">
        <v>1.02</v>
      </c>
      <c r="G14" s="85"/>
      <c r="H14" s="93">
        <v>10</v>
      </c>
      <c r="I14" s="94">
        <v>1</v>
      </c>
      <c r="J14" s="91">
        <v>0.98499999999999999</v>
      </c>
      <c r="K14" s="91">
        <v>0.97099999999999997</v>
      </c>
      <c r="L14" s="92">
        <v>0.95599999999999996</v>
      </c>
      <c r="M14" s="127">
        <f t="shared" si="0"/>
        <v>10</v>
      </c>
      <c r="N14" s="95">
        <v>87.3</v>
      </c>
      <c r="Q14" s="263"/>
      <c r="R14" s="117"/>
      <c r="S14" s="264"/>
    </row>
    <row r="15" spans="1:19" ht="18" customHeight="1" thickBot="1" x14ac:dyDescent="0.3">
      <c r="A15" s="276"/>
      <c r="B15" s="89">
        <v>12</v>
      </c>
      <c r="C15" s="90"/>
      <c r="D15" s="91"/>
      <c r="E15" s="91">
        <v>1.01</v>
      </c>
      <c r="F15" s="92">
        <v>1.03</v>
      </c>
      <c r="G15" s="85"/>
      <c r="H15" s="93">
        <v>12</v>
      </c>
      <c r="I15" s="94">
        <v>1</v>
      </c>
      <c r="J15" s="91">
        <v>0.98699999999999999</v>
      </c>
      <c r="K15" s="91">
        <v>0.97299999999999998</v>
      </c>
      <c r="L15" s="92">
        <v>0.96</v>
      </c>
      <c r="M15" s="127">
        <f t="shared" si="0"/>
        <v>12</v>
      </c>
      <c r="N15" s="95">
        <v>88.5</v>
      </c>
      <c r="Q15" s="184" t="s">
        <v>51</v>
      </c>
      <c r="R15" s="185"/>
      <c r="S15" s="265"/>
    </row>
    <row r="16" spans="1:19" ht="18" customHeight="1" thickBot="1" x14ac:dyDescent="0.3">
      <c r="A16" s="276"/>
      <c r="B16" s="89">
        <v>15</v>
      </c>
      <c r="C16" s="90"/>
      <c r="D16" s="91"/>
      <c r="E16" s="91">
        <v>1</v>
      </c>
      <c r="F16" s="92">
        <v>1.01</v>
      </c>
      <c r="G16" s="85"/>
      <c r="H16" s="93">
        <v>15</v>
      </c>
      <c r="I16" s="94">
        <v>1</v>
      </c>
      <c r="J16" s="91">
        <v>0.99</v>
      </c>
      <c r="K16" s="91">
        <v>0.97899999999999998</v>
      </c>
      <c r="L16" s="92">
        <v>0.96899999999999997</v>
      </c>
      <c r="M16" s="127">
        <f t="shared" si="0"/>
        <v>15</v>
      </c>
      <c r="N16" s="95">
        <v>91.6</v>
      </c>
      <c r="Q16" s="128" t="s">
        <v>49</v>
      </c>
      <c r="R16" s="130" t="s">
        <v>39</v>
      </c>
      <c r="S16" s="264"/>
    </row>
    <row r="17" spans="1:19" ht="18" customHeight="1" thickBot="1" x14ac:dyDescent="0.3">
      <c r="A17" s="276"/>
      <c r="B17" s="96">
        <v>20</v>
      </c>
      <c r="C17" s="97"/>
      <c r="D17" s="98"/>
      <c r="E17" s="98"/>
      <c r="F17" s="99">
        <v>1</v>
      </c>
      <c r="G17" s="85"/>
      <c r="H17" s="100">
        <v>20</v>
      </c>
      <c r="I17" s="101">
        <v>1</v>
      </c>
      <c r="J17" s="102">
        <v>0.99099999999999999</v>
      </c>
      <c r="K17" s="102">
        <v>0.98199999999999998</v>
      </c>
      <c r="L17" s="103">
        <v>0.97199999999999998</v>
      </c>
      <c r="M17" s="127">
        <f t="shared" si="0"/>
        <v>20</v>
      </c>
      <c r="N17" s="104">
        <v>92.7</v>
      </c>
      <c r="Q17" s="157">
        <v>10</v>
      </c>
      <c r="R17" s="133">
        <f>Interpolate1DTable(Q17,$M$7:$N$17)</f>
        <v>87.3</v>
      </c>
      <c r="S17" s="266"/>
    </row>
    <row r="18" spans="1:19" ht="30.75" customHeight="1" thickBot="1" x14ac:dyDescent="0.3">
      <c r="A18" s="208" t="s">
        <v>59</v>
      </c>
      <c r="B18" s="209"/>
      <c r="C18" s="105">
        <v>0.98499999999999999</v>
      </c>
      <c r="D18" s="106">
        <v>1</v>
      </c>
      <c r="E18" s="106">
        <v>0.98499999999999999</v>
      </c>
      <c r="F18" s="107">
        <v>0.96499999999999997</v>
      </c>
      <c r="G18" s="70"/>
      <c r="H18" s="186" t="s">
        <v>38</v>
      </c>
      <c r="I18" s="187"/>
      <c r="J18" s="187"/>
      <c r="K18" s="187"/>
      <c r="L18" s="187"/>
      <c r="M18" s="187"/>
      <c r="N18" s="188"/>
    </row>
    <row r="19" spans="1:19" ht="14.4" thickBot="1" x14ac:dyDescent="0.3">
      <c r="B19" s="70"/>
      <c r="C19" s="70"/>
      <c r="D19" s="70"/>
      <c r="E19" s="70"/>
      <c r="F19" s="70"/>
      <c r="G19" s="85"/>
      <c r="H19" s="189"/>
      <c r="I19" s="190"/>
      <c r="J19" s="190"/>
      <c r="K19" s="190"/>
      <c r="L19" s="190"/>
      <c r="M19" s="190"/>
      <c r="N19" s="191"/>
    </row>
    <row r="20" spans="1:19" s="169" customFormat="1" ht="13.8" x14ac:dyDescent="0.25">
      <c r="B20" s="168"/>
      <c r="C20" s="168"/>
      <c r="D20" s="168"/>
      <c r="E20" s="168"/>
      <c r="F20" s="168"/>
      <c r="G20" s="85"/>
      <c r="H20" s="274"/>
      <c r="I20" s="274"/>
      <c r="J20" s="274"/>
      <c r="K20" s="274"/>
      <c r="L20" s="274"/>
      <c r="M20" s="274"/>
      <c r="N20" s="274"/>
    </row>
    <row r="21" spans="1:19" ht="23.4" customHeight="1" x14ac:dyDescent="0.25">
      <c r="B21" s="109" t="s">
        <v>23</v>
      </c>
      <c r="C21" s="110" t="s">
        <v>24</v>
      </c>
      <c r="D21" s="111"/>
      <c r="E21" s="111"/>
      <c r="F21" s="111"/>
      <c r="H21" s="117"/>
      <c r="I21" s="108"/>
      <c r="J21" s="117"/>
      <c r="K21" s="117"/>
      <c r="L21" s="117"/>
      <c r="M21" s="117"/>
      <c r="N21" s="117"/>
    </row>
    <row r="22" spans="1:19" x14ac:dyDescent="0.25">
      <c r="J22" s="73"/>
      <c r="K22" s="73"/>
      <c r="L22" s="73"/>
      <c r="M22" s="73"/>
      <c r="N22" s="73"/>
    </row>
    <row r="23" spans="1:19" ht="22.5" customHeight="1" x14ac:dyDescent="0.25">
      <c r="A23" s="269" t="s">
        <v>64</v>
      </c>
      <c r="B23" s="267" t="s">
        <v>73</v>
      </c>
      <c r="J23" s="73"/>
      <c r="K23" s="73"/>
      <c r="L23" s="73"/>
      <c r="M23" s="73"/>
      <c r="N23" s="73"/>
    </row>
    <row r="24" spans="1:19" s="169" customFormat="1" ht="22.5" customHeight="1" x14ac:dyDescent="0.25">
      <c r="A24" s="269" t="s">
        <v>65</v>
      </c>
      <c r="B24" s="270" t="s">
        <v>70</v>
      </c>
      <c r="J24" s="73"/>
      <c r="K24" s="73"/>
      <c r="L24" s="73"/>
      <c r="M24" s="73"/>
      <c r="N24" s="73"/>
    </row>
    <row r="25" spans="1:19" s="169" customFormat="1" ht="22.5" customHeight="1" x14ac:dyDescent="0.25">
      <c r="A25" s="269"/>
      <c r="B25" s="270" t="s">
        <v>68</v>
      </c>
      <c r="J25" s="73"/>
      <c r="K25" s="73"/>
      <c r="L25" s="73"/>
      <c r="M25" s="73"/>
      <c r="N25" s="73"/>
    </row>
    <row r="26" spans="1:19" x14ac:dyDescent="0.25">
      <c r="J26" s="73"/>
      <c r="K26" s="73"/>
      <c r="L26" s="73"/>
      <c r="M26" s="73"/>
      <c r="N26" s="73"/>
    </row>
    <row r="27" spans="1:19" ht="18.600000000000001" x14ac:dyDescent="0.25">
      <c r="C27" s="113" t="s">
        <v>35</v>
      </c>
      <c r="D27" s="114" t="s">
        <v>66</v>
      </c>
      <c r="H27" s="73"/>
      <c r="I27" s="73"/>
      <c r="J27" s="73"/>
      <c r="K27" s="73"/>
      <c r="L27" s="73"/>
      <c r="M27" s="73"/>
      <c r="N27" s="73"/>
    </row>
    <row r="28" spans="1:19" ht="18" x14ac:dyDescent="0.25">
      <c r="D28" s="115" t="s">
        <v>74</v>
      </c>
    </row>
  </sheetData>
  <mergeCells count="15">
    <mergeCell ref="A7:A17"/>
    <mergeCell ref="A18:B18"/>
    <mergeCell ref="Q5:S5"/>
    <mergeCell ref="Q10:S10"/>
    <mergeCell ref="Q15:R15"/>
    <mergeCell ref="H18:N19"/>
    <mergeCell ref="H5:H6"/>
    <mergeCell ref="I5:L5"/>
    <mergeCell ref="B1:N1"/>
    <mergeCell ref="B2:N2"/>
    <mergeCell ref="B4:F4"/>
    <mergeCell ref="I4:L4"/>
    <mergeCell ref="N4:N6"/>
    <mergeCell ref="B5:B6"/>
    <mergeCell ref="C5:F5"/>
  </mergeCells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28"/>
  <sheetViews>
    <sheetView showGridLines="0" workbookViewId="0">
      <selection activeCell="D29" sqref="D29"/>
    </sheetView>
  </sheetViews>
  <sheetFormatPr defaultColWidth="9.109375" defaultRowHeight="13.2" x14ac:dyDescent="0.25"/>
  <cols>
    <col min="1" max="1" width="11.77734375" style="160" customWidth="1"/>
    <col min="2" max="2" width="15.109375" style="69" customWidth="1"/>
    <col min="3" max="6" width="9.77734375" style="69" customWidth="1"/>
    <col min="7" max="7" width="3.44140625" style="69" customWidth="1"/>
    <col min="8" max="8" width="13.6640625" style="69" customWidth="1"/>
    <col min="9" max="12" width="9.109375" style="69"/>
    <col min="13" max="13" width="2.5546875" style="69" customWidth="1"/>
    <col min="14" max="16" width="9.109375" style="69"/>
    <col min="17" max="17" width="14.88671875" style="69" customWidth="1"/>
    <col min="18" max="18" width="14.5546875" style="69" customWidth="1"/>
    <col min="19" max="19" width="14" style="69" customWidth="1"/>
    <col min="20" max="16384" width="9.109375" style="69"/>
  </cols>
  <sheetData>
    <row r="1" spans="1:19" ht="30" customHeight="1" x14ac:dyDescent="0.25">
      <c r="B1" s="240" t="s">
        <v>28</v>
      </c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</row>
    <row r="2" spans="1:19" ht="29.4" customHeight="1" thickBot="1" x14ac:dyDescent="0.3">
      <c r="B2" s="242" t="s">
        <v>19</v>
      </c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</row>
    <row r="3" spans="1:19" ht="21" customHeight="1" thickBot="1" x14ac:dyDescent="0.3">
      <c r="Q3" s="244" t="s">
        <v>40</v>
      </c>
      <c r="R3" s="245" t="s">
        <v>46</v>
      </c>
      <c r="S3" s="246"/>
    </row>
    <row r="4" spans="1:19" ht="24" customHeight="1" thickBot="1" x14ac:dyDescent="0.3">
      <c r="B4" s="192" t="s">
        <v>20</v>
      </c>
      <c r="C4" s="193"/>
      <c r="D4" s="193"/>
      <c r="E4" s="193"/>
      <c r="F4" s="194"/>
      <c r="G4" s="70"/>
      <c r="H4" s="71"/>
      <c r="I4" s="195" t="s">
        <v>21</v>
      </c>
      <c r="J4" s="193"/>
      <c r="K4" s="193"/>
      <c r="L4" s="194"/>
      <c r="M4" s="72"/>
      <c r="N4" s="196" t="s">
        <v>22</v>
      </c>
      <c r="Q4" s="263"/>
      <c r="R4" s="117"/>
      <c r="S4" s="264"/>
    </row>
    <row r="5" spans="1:19" ht="18" customHeight="1" thickBot="1" x14ac:dyDescent="0.3">
      <c r="B5" s="199" t="s">
        <v>37</v>
      </c>
      <c r="C5" s="201" t="s">
        <v>42</v>
      </c>
      <c r="D5" s="202"/>
      <c r="E5" s="202"/>
      <c r="F5" s="203"/>
      <c r="G5" s="70"/>
      <c r="H5" s="199" t="s">
        <v>36</v>
      </c>
      <c r="I5" s="271" t="s">
        <v>71</v>
      </c>
      <c r="J5" s="272"/>
      <c r="K5" s="272"/>
      <c r="L5" s="273"/>
      <c r="M5" s="70"/>
      <c r="N5" s="197"/>
      <c r="Q5" s="184" t="s">
        <v>41</v>
      </c>
      <c r="R5" s="205"/>
      <c r="S5" s="206"/>
    </row>
    <row r="6" spans="1:19" ht="21" customHeight="1" thickBot="1" x14ac:dyDescent="0.3">
      <c r="B6" s="200"/>
      <c r="C6" s="74">
        <v>6</v>
      </c>
      <c r="D6" s="75">
        <v>10</v>
      </c>
      <c r="E6" s="75">
        <v>15</v>
      </c>
      <c r="F6" s="76">
        <v>20</v>
      </c>
      <c r="G6" s="70"/>
      <c r="H6" s="204"/>
      <c r="I6" s="77">
        <v>100</v>
      </c>
      <c r="J6" s="78">
        <v>105</v>
      </c>
      <c r="K6" s="78">
        <v>110</v>
      </c>
      <c r="L6" s="79">
        <v>115</v>
      </c>
      <c r="M6" s="80"/>
      <c r="N6" s="198"/>
      <c r="Q6" s="128" t="s">
        <v>43</v>
      </c>
      <c r="R6" s="129" t="s">
        <v>44</v>
      </c>
      <c r="S6" s="130" t="s">
        <v>45</v>
      </c>
    </row>
    <row r="7" spans="1:19" ht="18" customHeight="1" thickBot="1" x14ac:dyDescent="0.3">
      <c r="A7" s="275" t="s">
        <v>72</v>
      </c>
      <c r="B7" s="81">
        <v>2</v>
      </c>
      <c r="C7" s="82">
        <v>0.98</v>
      </c>
      <c r="D7" s="83">
        <v>0.98</v>
      </c>
      <c r="E7" s="83"/>
      <c r="F7" s="84"/>
      <c r="G7" s="85"/>
      <c r="H7" s="86">
        <v>2</v>
      </c>
      <c r="I7" s="87">
        <v>1</v>
      </c>
      <c r="J7" s="83">
        <v>0.95599999999999996</v>
      </c>
      <c r="K7" s="83">
        <v>0.91300000000000003</v>
      </c>
      <c r="L7" s="84">
        <v>0.86899999999999999</v>
      </c>
      <c r="M7" s="127">
        <f>H7</f>
        <v>2</v>
      </c>
      <c r="N7" s="88">
        <v>65.5</v>
      </c>
      <c r="Q7" s="157">
        <v>10</v>
      </c>
      <c r="R7" s="158">
        <v>5</v>
      </c>
      <c r="S7" s="131">
        <f>IF(Interpolate2DTable(R7,Q7,$B$6:$F$17)&gt;0,Interpolate2DTable(R7,Q7,$B$6:$F$17),"")</f>
        <v>1</v>
      </c>
    </row>
    <row r="8" spans="1:19" ht="18" customHeight="1" x14ac:dyDescent="0.25">
      <c r="A8" s="276"/>
      <c r="B8" s="89">
        <v>3</v>
      </c>
      <c r="C8" s="90">
        <v>0.995</v>
      </c>
      <c r="D8" s="91">
        <v>0.995</v>
      </c>
      <c r="E8" s="91">
        <v>1.01</v>
      </c>
      <c r="F8" s="92">
        <v>1.02</v>
      </c>
      <c r="G8" s="85"/>
      <c r="H8" s="93">
        <v>3</v>
      </c>
      <c r="I8" s="94">
        <v>1</v>
      </c>
      <c r="J8" s="91">
        <v>0.96699999999999997</v>
      </c>
      <c r="K8" s="91">
        <v>0.93300000000000005</v>
      </c>
      <c r="L8" s="92">
        <v>0.9</v>
      </c>
      <c r="M8" s="127">
        <f t="shared" ref="M8:M17" si="0">H8</f>
        <v>3</v>
      </c>
      <c r="N8" s="95">
        <v>72.3</v>
      </c>
      <c r="Q8" s="263"/>
      <c r="R8" s="117"/>
      <c r="S8" s="264"/>
    </row>
    <row r="9" spans="1:19" ht="18" customHeight="1" thickBot="1" x14ac:dyDescent="0.3">
      <c r="A9" s="276"/>
      <c r="B9" s="89">
        <v>4</v>
      </c>
      <c r="C9" s="90">
        <v>1</v>
      </c>
      <c r="D9" s="91">
        <v>1</v>
      </c>
      <c r="E9" s="91">
        <v>1.02</v>
      </c>
      <c r="F9" s="92">
        <v>1.02</v>
      </c>
      <c r="G9" s="85"/>
      <c r="H9" s="93">
        <v>4</v>
      </c>
      <c r="I9" s="94">
        <v>1</v>
      </c>
      <c r="J9" s="91">
        <v>0.97399999999999998</v>
      </c>
      <c r="K9" s="91">
        <v>0.94799999999999995</v>
      </c>
      <c r="L9" s="92">
        <v>0.92200000000000004</v>
      </c>
      <c r="M9" s="127">
        <f t="shared" si="0"/>
        <v>4</v>
      </c>
      <c r="N9" s="95">
        <v>77.7</v>
      </c>
      <c r="Q9" s="263"/>
      <c r="R9" s="117"/>
      <c r="S9" s="264"/>
    </row>
    <row r="10" spans="1:19" ht="18" customHeight="1" thickBot="1" x14ac:dyDescent="0.3">
      <c r="A10" s="276"/>
      <c r="B10" s="89">
        <v>5</v>
      </c>
      <c r="C10" s="90">
        <v>1</v>
      </c>
      <c r="D10" s="91">
        <v>1</v>
      </c>
      <c r="E10" s="91">
        <v>1.02</v>
      </c>
      <c r="F10" s="92">
        <v>1.03</v>
      </c>
      <c r="G10" s="85"/>
      <c r="H10" s="93">
        <v>5</v>
      </c>
      <c r="I10" s="94">
        <v>1</v>
      </c>
      <c r="J10" s="91">
        <v>0.97899999999999998</v>
      </c>
      <c r="K10" s="91">
        <v>0.95699999999999996</v>
      </c>
      <c r="L10" s="92">
        <v>0.93600000000000005</v>
      </c>
      <c r="M10" s="127">
        <f t="shared" si="0"/>
        <v>5</v>
      </c>
      <c r="N10" s="95">
        <v>81.5</v>
      </c>
      <c r="Q10" s="207" t="s">
        <v>48</v>
      </c>
      <c r="R10" s="205"/>
      <c r="S10" s="206"/>
    </row>
    <row r="11" spans="1:19" ht="18" customHeight="1" thickBot="1" x14ac:dyDescent="0.3">
      <c r="A11" s="276"/>
      <c r="B11" s="89">
        <v>6</v>
      </c>
      <c r="C11" s="90">
        <v>1</v>
      </c>
      <c r="D11" s="91">
        <v>1</v>
      </c>
      <c r="E11" s="91">
        <v>1.02</v>
      </c>
      <c r="F11" s="92">
        <v>1.03</v>
      </c>
      <c r="G11" s="85"/>
      <c r="H11" s="93">
        <v>6</v>
      </c>
      <c r="I11" s="94">
        <v>1</v>
      </c>
      <c r="J11" s="91">
        <v>0.98</v>
      </c>
      <c r="K11" s="91">
        <v>0.95899999999999996</v>
      </c>
      <c r="L11" s="92">
        <v>0.93899999999999995</v>
      </c>
      <c r="M11" s="127">
        <f t="shared" si="0"/>
        <v>6</v>
      </c>
      <c r="N11" s="95">
        <v>82.2</v>
      </c>
      <c r="Q11" s="128" t="s">
        <v>49</v>
      </c>
      <c r="R11" s="129" t="s">
        <v>50</v>
      </c>
      <c r="S11" s="132" t="s">
        <v>48</v>
      </c>
    </row>
    <row r="12" spans="1:19" ht="18" customHeight="1" thickBot="1" x14ac:dyDescent="0.3">
      <c r="A12" s="276"/>
      <c r="B12" s="89">
        <v>7</v>
      </c>
      <c r="C12" s="90"/>
      <c r="D12" s="91">
        <v>1</v>
      </c>
      <c r="E12" s="91">
        <v>1.02</v>
      </c>
      <c r="F12" s="92">
        <v>1.03</v>
      </c>
      <c r="G12" s="85"/>
      <c r="H12" s="93">
        <v>7</v>
      </c>
      <c r="I12" s="94">
        <v>1</v>
      </c>
      <c r="J12" s="91">
        <v>0.98299999999999998</v>
      </c>
      <c r="K12" s="91">
        <v>0.96699999999999997</v>
      </c>
      <c r="L12" s="92">
        <v>0.95</v>
      </c>
      <c r="M12" s="127">
        <f t="shared" si="0"/>
        <v>7</v>
      </c>
      <c r="N12" s="95">
        <v>85.6</v>
      </c>
      <c r="Q12" s="157">
        <v>10</v>
      </c>
      <c r="R12" s="158">
        <v>105</v>
      </c>
      <c r="S12" s="131">
        <f>Interpolate2DTable(Q12,R12,$H$6:$L$17)</f>
        <v>0.98499999999999999</v>
      </c>
    </row>
    <row r="13" spans="1:19" ht="18" customHeight="1" x14ac:dyDescent="0.25">
      <c r="A13" s="276"/>
      <c r="B13" s="89">
        <v>8</v>
      </c>
      <c r="C13" s="90"/>
      <c r="D13" s="91">
        <v>1</v>
      </c>
      <c r="E13" s="91">
        <v>1.02</v>
      </c>
      <c r="F13" s="92">
        <v>1.03</v>
      </c>
      <c r="G13" s="85"/>
      <c r="H13" s="93">
        <v>8</v>
      </c>
      <c r="I13" s="94">
        <v>1</v>
      </c>
      <c r="J13" s="91">
        <v>0.98299999999999998</v>
      </c>
      <c r="K13" s="91">
        <v>0.96699999999999997</v>
      </c>
      <c r="L13" s="92">
        <v>0.95</v>
      </c>
      <c r="M13" s="127">
        <f t="shared" si="0"/>
        <v>8</v>
      </c>
      <c r="N13" s="95">
        <v>85.6</v>
      </c>
      <c r="Q13" s="263"/>
      <c r="R13" s="117"/>
      <c r="S13" s="264"/>
    </row>
    <row r="14" spans="1:19" ht="18" customHeight="1" thickBot="1" x14ac:dyDescent="0.3">
      <c r="A14" s="276"/>
      <c r="B14" s="89">
        <v>10</v>
      </c>
      <c r="C14" s="90"/>
      <c r="D14" s="91">
        <v>1</v>
      </c>
      <c r="E14" s="91">
        <v>1.01</v>
      </c>
      <c r="F14" s="92">
        <v>1.02</v>
      </c>
      <c r="G14" s="85"/>
      <c r="H14" s="93">
        <v>10</v>
      </c>
      <c r="I14" s="94">
        <v>1</v>
      </c>
      <c r="J14" s="91">
        <v>0.98499999999999999</v>
      </c>
      <c r="K14" s="91">
        <v>0.97</v>
      </c>
      <c r="L14" s="92">
        <v>0.95499999999999996</v>
      </c>
      <c r="M14" s="127">
        <f t="shared" si="0"/>
        <v>10</v>
      </c>
      <c r="N14" s="95">
        <v>87</v>
      </c>
      <c r="Q14" s="263"/>
      <c r="R14" s="117"/>
      <c r="S14" s="264"/>
    </row>
    <row r="15" spans="1:19" ht="18" customHeight="1" thickBot="1" x14ac:dyDescent="0.3">
      <c r="A15" s="276"/>
      <c r="B15" s="89">
        <v>12</v>
      </c>
      <c r="C15" s="90"/>
      <c r="D15" s="91"/>
      <c r="E15" s="91">
        <v>1.01</v>
      </c>
      <c r="F15" s="92">
        <v>1.03</v>
      </c>
      <c r="G15" s="85"/>
      <c r="H15" s="93">
        <v>12</v>
      </c>
      <c r="I15" s="94">
        <v>1</v>
      </c>
      <c r="J15" s="91">
        <v>0.98499999999999999</v>
      </c>
      <c r="K15" s="91">
        <v>0.97</v>
      </c>
      <c r="L15" s="92">
        <v>0.95499999999999996</v>
      </c>
      <c r="M15" s="127">
        <f t="shared" si="0"/>
        <v>12</v>
      </c>
      <c r="N15" s="95">
        <v>87.2</v>
      </c>
      <c r="Q15" s="184" t="s">
        <v>51</v>
      </c>
      <c r="R15" s="185"/>
      <c r="S15" s="265"/>
    </row>
    <row r="16" spans="1:19" ht="18" customHeight="1" thickBot="1" x14ac:dyDescent="0.3">
      <c r="A16" s="276"/>
      <c r="B16" s="89">
        <v>15</v>
      </c>
      <c r="C16" s="90"/>
      <c r="D16" s="91"/>
      <c r="E16" s="91">
        <v>1</v>
      </c>
      <c r="F16" s="92">
        <v>1.02</v>
      </c>
      <c r="G16" s="85"/>
      <c r="H16" s="93">
        <v>15</v>
      </c>
      <c r="I16" s="94">
        <v>1</v>
      </c>
      <c r="J16" s="91">
        <v>0.98699999999999999</v>
      </c>
      <c r="K16" s="91">
        <v>0.97299999999999998</v>
      </c>
      <c r="L16" s="92">
        <v>0.96</v>
      </c>
      <c r="M16" s="127">
        <f t="shared" si="0"/>
        <v>15</v>
      </c>
      <c r="N16" s="95">
        <v>88.6</v>
      </c>
      <c r="Q16" s="128" t="s">
        <v>49</v>
      </c>
      <c r="R16" s="130" t="s">
        <v>39</v>
      </c>
      <c r="S16" s="264"/>
    </row>
    <row r="17" spans="1:19" ht="18" customHeight="1" thickBot="1" x14ac:dyDescent="0.3">
      <c r="A17" s="276"/>
      <c r="B17" s="96">
        <v>20</v>
      </c>
      <c r="C17" s="97"/>
      <c r="D17" s="98"/>
      <c r="E17" s="98"/>
      <c r="F17" s="99">
        <v>1</v>
      </c>
      <c r="G17" s="85"/>
      <c r="H17" s="100">
        <v>20</v>
      </c>
      <c r="I17" s="101">
        <v>1</v>
      </c>
      <c r="J17" s="102">
        <v>0.98899999999999999</v>
      </c>
      <c r="K17" s="102">
        <v>0.97799999999999998</v>
      </c>
      <c r="L17" s="103">
        <v>0.96699999999999997</v>
      </c>
      <c r="M17" s="127">
        <f t="shared" si="0"/>
        <v>20</v>
      </c>
      <c r="N17" s="104">
        <v>90.9</v>
      </c>
      <c r="Q17" s="157">
        <v>10</v>
      </c>
      <c r="R17" s="133">
        <f>Interpolate1DTable(Q17,$M$7:$N$17)</f>
        <v>87</v>
      </c>
      <c r="S17" s="266"/>
    </row>
    <row r="18" spans="1:19" ht="30.75" customHeight="1" thickBot="1" x14ac:dyDescent="0.3">
      <c r="A18" s="208" t="s">
        <v>59</v>
      </c>
      <c r="B18" s="209"/>
      <c r="C18" s="105">
        <v>1.0049999999999999</v>
      </c>
      <c r="D18" s="106">
        <v>1</v>
      </c>
      <c r="E18" s="106">
        <v>0.97499999999999998</v>
      </c>
      <c r="F18" s="107">
        <v>0.95</v>
      </c>
      <c r="G18" s="70"/>
      <c r="H18" s="186" t="s">
        <v>38</v>
      </c>
      <c r="I18" s="187"/>
      <c r="J18" s="187"/>
      <c r="K18" s="187"/>
      <c r="L18" s="187"/>
      <c r="M18" s="187"/>
      <c r="N18" s="188"/>
    </row>
    <row r="19" spans="1:19" ht="14.4" thickBot="1" x14ac:dyDescent="0.3">
      <c r="B19" s="70"/>
      <c r="C19" s="70"/>
      <c r="D19" s="70"/>
      <c r="E19" s="70"/>
      <c r="F19" s="70"/>
      <c r="G19" s="85"/>
      <c r="H19" s="189"/>
      <c r="I19" s="190"/>
      <c r="J19" s="190"/>
      <c r="K19" s="190"/>
      <c r="L19" s="190"/>
      <c r="M19" s="190"/>
      <c r="N19" s="191"/>
    </row>
    <row r="20" spans="1:19" s="169" customFormat="1" ht="13.8" x14ac:dyDescent="0.25">
      <c r="B20" s="168"/>
      <c r="C20" s="168"/>
      <c r="D20" s="168"/>
      <c r="E20" s="168"/>
      <c r="F20" s="168"/>
      <c r="G20" s="85"/>
      <c r="H20" s="274"/>
      <c r="I20" s="274"/>
      <c r="J20" s="274"/>
      <c r="K20" s="274"/>
      <c r="L20" s="274"/>
      <c r="M20" s="274"/>
      <c r="N20" s="274"/>
    </row>
    <row r="21" spans="1:19" ht="23.4" customHeight="1" x14ac:dyDescent="0.25">
      <c r="B21" s="109" t="s">
        <v>23</v>
      </c>
      <c r="C21" s="110" t="s">
        <v>24</v>
      </c>
      <c r="D21" s="111"/>
      <c r="E21" s="111"/>
      <c r="F21" s="111"/>
      <c r="H21" s="117"/>
      <c r="I21" s="108"/>
      <c r="J21" s="117"/>
      <c r="K21" s="117"/>
      <c r="L21" s="117"/>
      <c r="M21" s="117"/>
      <c r="N21" s="117"/>
    </row>
    <row r="22" spans="1:19" x14ac:dyDescent="0.25">
      <c r="J22" s="73"/>
      <c r="K22" s="73"/>
      <c r="L22" s="73"/>
      <c r="M22" s="73"/>
      <c r="N22" s="73"/>
    </row>
    <row r="23" spans="1:19" ht="22.5" customHeight="1" x14ac:dyDescent="0.25">
      <c r="A23" s="269" t="s">
        <v>64</v>
      </c>
      <c r="B23" s="267" t="s">
        <v>73</v>
      </c>
      <c r="J23" s="73"/>
      <c r="K23" s="73"/>
      <c r="L23" s="73"/>
      <c r="M23" s="73"/>
      <c r="N23" s="73"/>
    </row>
    <row r="24" spans="1:19" s="169" customFormat="1" ht="22.5" customHeight="1" x14ac:dyDescent="0.25">
      <c r="A24" s="269" t="s">
        <v>65</v>
      </c>
      <c r="B24" s="270" t="s">
        <v>70</v>
      </c>
      <c r="J24" s="73"/>
      <c r="K24" s="73"/>
      <c r="L24" s="73"/>
      <c r="M24" s="73"/>
      <c r="N24" s="73"/>
    </row>
    <row r="25" spans="1:19" s="169" customFormat="1" ht="22.5" customHeight="1" x14ac:dyDescent="0.25">
      <c r="A25" s="269"/>
      <c r="B25" s="270" t="s">
        <v>68</v>
      </c>
      <c r="J25" s="73"/>
      <c r="K25" s="73"/>
      <c r="L25" s="73"/>
      <c r="M25" s="73"/>
      <c r="N25" s="73"/>
    </row>
    <row r="26" spans="1:19" x14ac:dyDescent="0.25">
      <c r="J26" s="73"/>
      <c r="K26" s="73"/>
      <c r="L26" s="73"/>
      <c r="M26" s="73"/>
      <c r="N26" s="73"/>
    </row>
    <row r="27" spans="1:19" ht="18.600000000000001" x14ac:dyDescent="0.25">
      <c r="C27" s="113" t="s">
        <v>35</v>
      </c>
      <c r="D27" s="114" t="s">
        <v>66</v>
      </c>
      <c r="H27" s="73"/>
      <c r="I27" s="73"/>
      <c r="J27" s="73"/>
      <c r="K27" s="73"/>
      <c r="L27" s="73"/>
      <c r="M27" s="73"/>
      <c r="N27" s="73"/>
    </row>
    <row r="28" spans="1:19" ht="18" x14ac:dyDescent="0.25">
      <c r="D28" s="115" t="s">
        <v>74</v>
      </c>
    </row>
  </sheetData>
  <mergeCells count="15">
    <mergeCell ref="A7:A17"/>
    <mergeCell ref="A18:B18"/>
    <mergeCell ref="Q5:S5"/>
    <mergeCell ref="Q10:S10"/>
    <mergeCell ref="Q15:R15"/>
    <mergeCell ref="H18:N19"/>
    <mergeCell ref="H5:H6"/>
    <mergeCell ref="I5:L5"/>
    <mergeCell ref="B1:N1"/>
    <mergeCell ref="B2:N2"/>
    <mergeCell ref="B4:F4"/>
    <mergeCell ref="I4:L4"/>
    <mergeCell ref="N4:N6"/>
    <mergeCell ref="B5:B6"/>
    <mergeCell ref="C5:F5"/>
  </mergeCells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K43"/>
  <sheetViews>
    <sheetView showGridLines="0" workbookViewId="0">
      <selection activeCell="G20" sqref="G20"/>
    </sheetView>
  </sheetViews>
  <sheetFormatPr defaultColWidth="9.109375" defaultRowHeight="13.2" x14ac:dyDescent="0.25"/>
  <cols>
    <col min="1" max="8" width="9.109375" style="32"/>
    <col min="9" max="9" width="8.5546875" style="32" customWidth="1"/>
    <col min="10" max="10" width="11" style="32" customWidth="1"/>
    <col min="11" max="16384" width="9.109375" style="32"/>
  </cols>
  <sheetData>
    <row r="1" spans="1:11" ht="26.25" customHeight="1" x14ac:dyDescent="0.25">
      <c r="A1" s="214" t="s">
        <v>29</v>
      </c>
      <c r="B1" s="247"/>
      <c r="C1" s="247"/>
      <c r="D1" s="247"/>
      <c r="E1" s="247"/>
    </row>
    <row r="2" spans="1:11" ht="22.8" customHeight="1" x14ac:dyDescent="0.25">
      <c r="A2" s="218" t="s">
        <v>30</v>
      </c>
      <c r="B2" s="248"/>
      <c r="C2" s="248"/>
      <c r="D2" s="248"/>
      <c r="E2" s="248"/>
    </row>
    <row r="3" spans="1:11" ht="18" customHeight="1" thickBot="1" x14ac:dyDescent="0.3">
      <c r="A3" s="33"/>
      <c r="B3" s="33"/>
      <c r="C3" s="33"/>
      <c r="D3" s="33"/>
      <c r="E3" s="33"/>
    </row>
    <row r="4" spans="1:11" ht="18" customHeight="1" thickBot="1" x14ac:dyDescent="0.3">
      <c r="B4" s="260" t="s">
        <v>8</v>
      </c>
      <c r="C4" s="261"/>
      <c r="D4" s="261"/>
      <c r="E4" s="262"/>
    </row>
    <row r="5" spans="1:11" ht="18" customHeight="1" thickBot="1" x14ac:dyDescent="0.3">
      <c r="A5" s="34" t="s">
        <v>11</v>
      </c>
      <c r="B5" s="35">
        <v>0</v>
      </c>
      <c r="C5" s="36">
        <v>30</v>
      </c>
      <c r="D5" s="36">
        <v>45</v>
      </c>
      <c r="E5" s="37">
        <v>60</v>
      </c>
    </row>
    <row r="6" spans="1:11" ht="18" customHeight="1" thickBot="1" x14ac:dyDescent="0.3">
      <c r="A6" s="38">
        <v>0</v>
      </c>
      <c r="B6" s="39">
        <v>1</v>
      </c>
      <c r="C6" s="40">
        <v>1.01</v>
      </c>
      <c r="D6" s="40">
        <v>1.1399999999999999</v>
      </c>
      <c r="E6" s="41">
        <v>1.3</v>
      </c>
    </row>
    <row r="7" spans="1:11" ht="18" customHeight="1" thickBot="1" x14ac:dyDescent="0.3">
      <c r="A7" s="42">
        <v>0.1</v>
      </c>
      <c r="B7" s="43">
        <v>1</v>
      </c>
      <c r="C7" s="44">
        <v>1.08</v>
      </c>
      <c r="D7" s="44">
        <v>1.1399999999999999</v>
      </c>
      <c r="E7" s="45">
        <v>1.21</v>
      </c>
      <c r="G7" s="226" t="s">
        <v>7</v>
      </c>
      <c r="H7" s="227"/>
      <c r="I7" s="227"/>
      <c r="J7" s="251" t="s">
        <v>4</v>
      </c>
      <c r="K7" s="252"/>
    </row>
    <row r="8" spans="1:11" ht="18" customHeight="1" x14ac:dyDescent="0.25">
      <c r="A8" s="42">
        <v>0.2</v>
      </c>
      <c r="B8" s="43">
        <v>1</v>
      </c>
      <c r="C8" s="44">
        <v>1.1100000000000001</v>
      </c>
      <c r="D8" s="44">
        <v>1.1200000000000001</v>
      </c>
      <c r="E8" s="45">
        <v>1.08</v>
      </c>
      <c r="G8" s="257" t="s">
        <v>15</v>
      </c>
      <c r="H8" s="255" t="s">
        <v>10</v>
      </c>
      <c r="I8" s="254" t="s">
        <v>63</v>
      </c>
      <c r="J8" s="46" t="s">
        <v>10</v>
      </c>
      <c r="K8" s="210" t="s">
        <v>1</v>
      </c>
    </row>
    <row r="9" spans="1:11" ht="18" customHeight="1" thickBot="1" x14ac:dyDescent="0.3">
      <c r="A9" s="42">
        <v>0.3</v>
      </c>
      <c r="B9" s="43">
        <v>1</v>
      </c>
      <c r="C9" s="44">
        <v>1.06</v>
      </c>
      <c r="D9" s="44">
        <v>1.07</v>
      </c>
      <c r="E9" s="45">
        <v>0.9</v>
      </c>
      <c r="G9" s="259"/>
      <c r="H9" s="256"/>
      <c r="I9" s="253"/>
      <c r="J9" s="47" t="s">
        <v>15</v>
      </c>
      <c r="K9" s="211"/>
    </row>
    <row r="10" spans="1:11" ht="18" customHeight="1" thickBot="1" x14ac:dyDescent="0.3">
      <c r="A10" s="42">
        <v>0.4</v>
      </c>
      <c r="B10" s="43">
        <v>1</v>
      </c>
      <c r="C10" s="44">
        <v>0.96</v>
      </c>
      <c r="D10" s="44">
        <v>0.92</v>
      </c>
      <c r="E10" s="45">
        <v>0.7</v>
      </c>
      <c r="G10" s="258">
        <f>'6 MeV PDD'!C5</f>
        <v>3</v>
      </c>
      <c r="H10" s="156">
        <v>5</v>
      </c>
      <c r="I10" s="159">
        <v>45</v>
      </c>
      <c r="J10" s="249">
        <f>H10/G10</f>
        <v>1.6666666666666667</v>
      </c>
      <c r="K10" s="250">
        <f>Interpolate2DTable(H10/G10,I10,$A$5:$E$16)</f>
        <v>2.14</v>
      </c>
    </row>
    <row r="11" spans="1:11" ht="18" customHeight="1" x14ac:dyDescent="0.25">
      <c r="A11" s="42">
        <v>0.5</v>
      </c>
      <c r="B11" s="43">
        <v>1</v>
      </c>
      <c r="C11" s="44">
        <v>0.86</v>
      </c>
      <c r="D11" s="44">
        <v>0.77</v>
      </c>
      <c r="E11" s="45">
        <v>0.56000000000000005</v>
      </c>
    </row>
    <row r="12" spans="1:11" ht="18" customHeight="1" x14ac:dyDescent="0.25">
      <c r="A12" s="42">
        <v>0.6</v>
      </c>
      <c r="B12" s="43">
        <v>1</v>
      </c>
      <c r="C12" s="44">
        <v>0.79</v>
      </c>
      <c r="D12" s="44">
        <v>0.69</v>
      </c>
      <c r="E12" s="45">
        <v>0.51</v>
      </c>
    </row>
    <row r="13" spans="1:11" ht="18" customHeight="1" x14ac:dyDescent="0.25">
      <c r="A13" s="42">
        <v>0.7</v>
      </c>
      <c r="B13" s="43">
        <v>1</v>
      </c>
      <c r="C13" s="44">
        <v>0.83</v>
      </c>
      <c r="D13" s="44">
        <v>0.76</v>
      </c>
      <c r="E13" s="45">
        <v>0.56000000000000005</v>
      </c>
      <c r="G13" s="212"/>
      <c r="H13" s="213"/>
      <c r="I13" s="213"/>
    </row>
    <row r="14" spans="1:11" ht="18" customHeight="1" x14ac:dyDescent="0.25">
      <c r="A14" s="42">
        <v>0.8</v>
      </c>
      <c r="B14" s="43">
        <v>1</v>
      </c>
      <c r="C14" s="44">
        <v>0.96</v>
      </c>
      <c r="D14" s="44">
        <v>1.1000000000000001</v>
      </c>
      <c r="E14" s="45">
        <v>0.87</v>
      </c>
      <c r="G14" s="48"/>
      <c r="H14" s="48"/>
      <c r="I14" s="48"/>
    </row>
    <row r="15" spans="1:11" ht="18" customHeight="1" x14ac:dyDescent="0.25">
      <c r="A15" s="42">
        <v>0.9</v>
      </c>
      <c r="B15" s="43">
        <v>1</v>
      </c>
      <c r="C15" s="44">
        <v>1</v>
      </c>
      <c r="D15" s="44">
        <v>1.46</v>
      </c>
      <c r="E15" s="45">
        <v>1.4</v>
      </c>
      <c r="G15" s="177"/>
      <c r="H15" s="178"/>
      <c r="I15" s="178"/>
    </row>
    <row r="16" spans="1:11" ht="18" customHeight="1" thickBot="1" x14ac:dyDescent="0.3">
      <c r="A16" s="49">
        <v>1</v>
      </c>
      <c r="B16" s="50">
        <v>1</v>
      </c>
      <c r="C16" s="51">
        <v>1</v>
      </c>
      <c r="D16" s="51">
        <v>2.14</v>
      </c>
      <c r="E16" s="52">
        <v>2.4500000000000002</v>
      </c>
      <c r="G16" s="26"/>
      <c r="H16" s="27"/>
      <c r="I16" s="27"/>
    </row>
    <row r="17" spans="1:9" x14ac:dyDescent="0.25">
      <c r="A17" s="53"/>
      <c r="B17" s="54"/>
      <c r="C17" s="54"/>
      <c r="D17" s="54"/>
      <c r="E17" s="54"/>
      <c r="G17" s="28"/>
      <c r="H17" s="29"/>
      <c r="I17" s="30"/>
    </row>
    <row r="18" spans="1:9" x14ac:dyDescent="0.25">
      <c r="A18" s="53"/>
      <c r="B18" s="54"/>
      <c r="C18" s="54"/>
      <c r="D18" s="54"/>
      <c r="E18" s="54"/>
    </row>
    <row r="19" spans="1:9" x14ac:dyDescent="0.25">
      <c r="A19" s="53"/>
      <c r="B19" s="54"/>
      <c r="C19" s="54"/>
      <c r="D19" s="54"/>
      <c r="E19" s="54"/>
    </row>
    <row r="20" spans="1:9" ht="13.5" customHeight="1" x14ac:dyDescent="0.25">
      <c r="A20" s="53"/>
      <c r="B20" s="54"/>
      <c r="C20" s="54"/>
      <c r="D20" s="54"/>
      <c r="E20" s="54"/>
    </row>
    <row r="21" spans="1:9" x14ac:dyDescent="0.25">
      <c r="A21" s="53"/>
      <c r="B21" s="54"/>
      <c r="C21" s="54"/>
      <c r="D21" s="54"/>
      <c r="E21" s="54"/>
    </row>
    <row r="22" spans="1:9" x14ac:dyDescent="0.25">
      <c r="A22" s="53"/>
      <c r="B22" s="54"/>
      <c r="C22" s="54"/>
      <c r="D22" s="54"/>
      <c r="E22" s="54"/>
    </row>
    <row r="23" spans="1:9" x14ac:dyDescent="0.25">
      <c r="A23" s="53"/>
      <c r="B23" s="54"/>
      <c r="C23" s="54"/>
      <c r="D23" s="54"/>
      <c r="E23" s="54"/>
    </row>
    <row r="24" spans="1:9" x14ac:dyDescent="0.25">
      <c r="A24" s="53"/>
      <c r="B24" s="54"/>
      <c r="C24" s="54"/>
      <c r="D24" s="54"/>
      <c r="E24" s="54"/>
    </row>
    <row r="26" spans="1:9" x14ac:dyDescent="0.25">
      <c r="B26" s="55"/>
      <c r="C26" s="55"/>
      <c r="D26" s="55"/>
      <c r="E26" s="55"/>
    </row>
    <row r="27" spans="1:9" x14ac:dyDescent="0.25">
      <c r="B27" s="55"/>
      <c r="C27" s="55"/>
      <c r="D27" s="55"/>
      <c r="E27" s="55"/>
    </row>
    <row r="28" spans="1:9" x14ac:dyDescent="0.25">
      <c r="B28" s="55"/>
      <c r="C28" s="55"/>
      <c r="D28" s="55"/>
      <c r="E28" s="55"/>
    </row>
    <row r="29" spans="1:9" x14ac:dyDescent="0.25">
      <c r="B29" s="55"/>
      <c r="C29" s="55"/>
      <c r="D29" s="55"/>
      <c r="E29" s="55"/>
    </row>
    <row r="30" spans="1:9" x14ac:dyDescent="0.25">
      <c r="B30" s="55"/>
      <c r="C30" s="55"/>
      <c r="D30" s="55"/>
      <c r="E30" s="55"/>
    </row>
    <row r="31" spans="1:9" x14ac:dyDescent="0.25">
      <c r="B31" s="55"/>
      <c r="C31" s="55"/>
      <c r="D31" s="55"/>
      <c r="E31" s="55"/>
    </row>
    <row r="32" spans="1:9" x14ac:dyDescent="0.25">
      <c r="B32" s="55"/>
      <c r="C32" s="55"/>
      <c r="D32" s="55"/>
      <c r="E32" s="55"/>
    </row>
    <row r="33" spans="2:5" x14ac:dyDescent="0.25">
      <c r="B33" s="55"/>
      <c r="C33" s="55"/>
      <c r="D33" s="55"/>
      <c r="E33" s="55"/>
    </row>
    <row r="34" spans="2:5" ht="13.5" customHeight="1" x14ac:dyDescent="0.25">
      <c r="B34" s="55"/>
      <c r="C34" s="55"/>
      <c r="D34" s="55"/>
      <c r="E34" s="55"/>
    </row>
    <row r="35" spans="2:5" x14ac:dyDescent="0.25">
      <c r="B35" s="55"/>
      <c r="C35" s="55"/>
      <c r="D35" s="55"/>
      <c r="E35" s="55"/>
    </row>
    <row r="36" spans="2:5" x14ac:dyDescent="0.25">
      <c r="B36" s="55"/>
      <c r="C36" s="55"/>
      <c r="D36" s="55"/>
      <c r="E36" s="55"/>
    </row>
    <row r="37" spans="2:5" x14ac:dyDescent="0.25">
      <c r="B37" s="55"/>
      <c r="C37" s="55"/>
      <c r="D37" s="55"/>
      <c r="E37" s="55"/>
    </row>
    <row r="38" spans="2:5" x14ac:dyDescent="0.25">
      <c r="B38" s="55"/>
      <c r="C38" s="55"/>
      <c r="D38" s="55"/>
      <c r="E38" s="55"/>
    </row>
    <row r="39" spans="2:5" x14ac:dyDescent="0.25">
      <c r="B39" s="55"/>
      <c r="C39" s="55"/>
      <c r="D39" s="55"/>
      <c r="E39" s="55"/>
    </row>
    <row r="40" spans="2:5" x14ac:dyDescent="0.25">
      <c r="B40" s="55"/>
      <c r="C40" s="55"/>
      <c r="D40" s="55"/>
      <c r="E40" s="55"/>
    </row>
    <row r="41" spans="2:5" x14ac:dyDescent="0.25">
      <c r="B41" s="55"/>
      <c r="C41" s="55"/>
      <c r="D41" s="55"/>
      <c r="E41" s="55"/>
    </row>
    <row r="42" spans="2:5" x14ac:dyDescent="0.25">
      <c r="B42" s="55"/>
      <c r="C42" s="55"/>
      <c r="D42" s="55"/>
      <c r="E42" s="55"/>
    </row>
    <row r="43" spans="2:5" x14ac:dyDescent="0.25">
      <c r="B43" s="55"/>
      <c r="C43" s="55"/>
      <c r="D43" s="55"/>
      <c r="E43" s="55"/>
    </row>
  </sheetData>
  <mergeCells count="10">
    <mergeCell ref="K8:K9"/>
    <mergeCell ref="G13:I13"/>
    <mergeCell ref="G8:G9"/>
    <mergeCell ref="H8:H9"/>
    <mergeCell ref="I8:I9"/>
    <mergeCell ref="G15:I15"/>
    <mergeCell ref="G7:I7"/>
    <mergeCell ref="A1:E1"/>
    <mergeCell ref="A2:E2"/>
    <mergeCell ref="B4:E4"/>
  </mergeCells>
  <phoneticPr fontId="10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K43"/>
  <sheetViews>
    <sheetView showGridLines="0" workbookViewId="0">
      <selection activeCell="G20" sqref="G20"/>
    </sheetView>
  </sheetViews>
  <sheetFormatPr defaultColWidth="9.109375" defaultRowHeight="13.2" x14ac:dyDescent="0.25"/>
  <cols>
    <col min="1" max="8" width="9.109375" style="32"/>
    <col min="9" max="9" width="8.5546875" style="32" customWidth="1"/>
    <col min="10" max="10" width="11" style="32" customWidth="1"/>
    <col min="11" max="16384" width="9.109375" style="32"/>
  </cols>
  <sheetData>
    <row r="1" spans="1:11" ht="26.25" customHeight="1" x14ac:dyDescent="0.25">
      <c r="A1" s="214" t="s">
        <v>34</v>
      </c>
      <c r="B1" s="247"/>
      <c r="C1" s="247"/>
      <c r="D1" s="247"/>
      <c r="E1" s="247"/>
    </row>
    <row r="2" spans="1:11" ht="22.8" customHeight="1" x14ac:dyDescent="0.25">
      <c r="A2" s="218" t="s">
        <v>30</v>
      </c>
      <c r="B2" s="248"/>
      <c r="C2" s="248"/>
      <c r="D2" s="248"/>
      <c r="E2" s="248"/>
    </row>
    <row r="3" spans="1:11" ht="18" customHeight="1" thickBot="1" x14ac:dyDescent="0.3">
      <c r="A3" s="33"/>
      <c r="B3" s="33"/>
      <c r="C3" s="33"/>
      <c r="D3" s="33"/>
      <c r="E3" s="33"/>
    </row>
    <row r="4" spans="1:11" ht="18" customHeight="1" thickBot="1" x14ac:dyDescent="0.3">
      <c r="B4" s="260" t="s">
        <v>8</v>
      </c>
      <c r="C4" s="261"/>
      <c r="D4" s="261"/>
      <c r="E4" s="262"/>
    </row>
    <row r="5" spans="1:11" ht="18" customHeight="1" thickBot="1" x14ac:dyDescent="0.3">
      <c r="A5" s="34" t="s">
        <v>11</v>
      </c>
      <c r="B5" s="35">
        <v>0</v>
      </c>
      <c r="C5" s="36">
        <v>30</v>
      </c>
      <c r="D5" s="36">
        <v>45</v>
      </c>
      <c r="E5" s="37">
        <v>60</v>
      </c>
    </row>
    <row r="6" spans="1:11" ht="18" customHeight="1" thickBot="1" x14ac:dyDescent="0.3">
      <c r="A6" s="38">
        <v>0</v>
      </c>
      <c r="B6" s="39">
        <v>1</v>
      </c>
      <c r="C6" s="40">
        <v>0.94</v>
      </c>
      <c r="D6" s="40">
        <v>0.98</v>
      </c>
      <c r="E6" s="41">
        <v>1.1399999999999999</v>
      </c>
    </row>
    <row r="7" spans="1:11" ht="18" customHeight="1" thickBot="1" x14ac:dyDescent="0.3">
      <c r="A7" s="42">
        <v>0.1</v>
      </c>
      <c r="B7" s="43">
        <v>1</v>
      </c>
      <c r="C7" s="44">
        <v>1</v>
      </c>
      <c r="D7" s="44">
        <v>1.1000000000000001</v>
      </c>
      <c r="E7" s="45">
        <v>1.23</v>
      </c>
      <c r="G7" s="226" t="s">
        <v>7</v>
      </c>
      <c r="H7" s="227"/>
      <c r="I7" s="227"/>
      <c r="J7" s="251" t="s">
        <v>4</v>
      </c>
      <c r="K7" s="252"/>
    </row>
    <row r="8" spans="1:11" ht="18" customHeight="1" x14ac:dyDescent="0.25">
      <c r="A8" s="42">
        <v>0.2</v>
      </c>
      <c r="B8" s="43">
        <v>1</v>
      </c>
      <c r="C8" s="44">
        <v>1.05</v>
      </c>
      <c r="D8" s="44">
        <v>1.1200000000000001</v>
      </c>
      <c r="E8" s="45">
        <v>1.17</v>
      </c>
      <c r="G8" s="257" t="s">
        <v>15</v>
      </c>
      <c r="H8" s="255" t="s">
        <v>10</v>
      </c>
      <c r="I8" s="254" t="s">
        <v>63</v>
      </c>
      <c r="J8" s="46" t="s">
        <v>10</v>
      </c>
      <c r="K8" s="210" t="s">
        <v>1</v>
      </c>
    </row>
    <row r="9" spans="1:11" ht="18" customHeight="1" thickBot="1" x14ac:dyDescent="0.3">
      <c r="A9" s="42">
        <v>0.3</v>
      </c>
      <c r="B9" s="43">
        <v>1</v>
      </c>
      <c r="C9" s="44">
        <v>1.05</v>
      </c>
      <c r="D9" s="44">
        <v>1.05</v>
      </c>
      <c r="E9" s="45">
        <v>0.98</v>
      </c>
      <c r="G9" s="259"/>
      <c r="H9" s="256"/>
      <c r="I9" s="253"/>
      <c r="J9" s="47" t="s">
        <v>15</v>
      </c>
      <c r="K9" s="211"/>
    </row>
    <row r="10" spans="1:11" ht="18" customHeight="1" thickBot="1" x14ac:dyDescent="0.3">
      <c r="A10" s="42">
        <v>0.4</v>
      </c>
      <c r="B10" s="43">
        <v>1</v>
      </c>
      <c r="C10" s="44">
        <v>1</v>
      </c>
      <c r="D10" s="44">
        <v>0.93</v>
      </c>
      <c r="E10" s="45">
        <v>0.79</v>
      </c>
      <c r="G10" s="258">
        <f>'9 MeV PDD'!C5</f>
        <v>4.5</v>
      </c>
      <c r="H10" s="24">
        <v>4.5</v>
      </c>
      <c r="I10" s="31">
        <v>45</v>
      </c>
      <c r="J10" s="249">
        <f>H10/G10</f>
        <v>1</v>
      </c>
      <c r="K10" s="250">
        <f>Interpolate2DTable(H10/G10,I10,$A$5:$E$16)</f>
        <v>2</v>
      </c>
    </row>
    <row r="11" spans="1:11" ht="18" customHeight="1" x14ac:dyDescent="0.25">
      <c r="A11" s="42">
        <v>0.5</v>
      </c>
      <c r="B11" s="43">
        <v>1</v>
      </c>
      <c r="C11" s="44">
        <v>0.92</v>
      </c>
      <c r="D11" s="44">
        <v>0.8</v>
      </c>
      <c r="E11" s="45">
        <v>0.67</v>
      </c>
    </row>
    <row r="12" spans="1:11" ht="18" customHeight="1" x14ac:dyDescent="0.25">
      <c r="A12" s="42">
        <v>0.6</v>
      </c>
      <c r="B12" s="43">
        <v>1</v>
      </c>
      <c r="C12" s="44">
        <v>0.86</v>
      </c>
      <c r="D12" s="44">
        <v>0.7</v>
      </c>
      <c r="E12" s="45">
        <v>0.57999999999999996</v>
      </c>
    </row>
    <row r="13" spans="1:11" ht="18" customHeight="1" x14ac:dyDescent="0.25">
      <c r="A13" s="42">
        <v>0.7</v>
      </c>
      <c r="B13" s="43">
        <v>1</v>
      </c>
      <c r="C13" s="44">
        <v>0.86</v>
      </c>
      <c r="D13" s="44">
        <v>0.7</v>
      </c>
      <c r="E13" s="45">
        <v>0.56999999999999995</v>
      </c>
      <c r="G13" s="212"/>
      <c r="H13" s="213"/>
      <c r="I13" s="213"/>
    </row>
    <row r="14" spans="1:11" ht="18" customHeight="1" x14ac:dyDescent="0.25">
      <c r="A14" s="42">
        <v>0.8</v>
      </c>
      <c r="B14" s="43">
        <v>1</v>
      </c>
      <c r="C14" s="44">
        <v>1</v>
      </c>
      <c r="D14" s="44">
        <v>0.83</v>
      </c>
      <c r="E14" s="45">
        <v>0.77</v>
      </c>
      <c r="G14" s="48"/>
      <c r="H14" s="48"/>
      <c r="I14" s="48"/>
    </row>
    <row r="15" spans="1:11" ht="18" customHeight="1" x14ac:dyDescent="0.25">
      <c r="A15" s="42">
        <v>0.9</v>
      </c>
      <c r="B15" s="43">
        <v>1</v>
      </c>
      <c r="C15" s="44">
        <v>1.44</v>
      </c>
      <c r="D15" s="44">
        <v>1.4</v>
      </c>
      <c r="E15" s="45">
        <v>1.6</v>
      </c>
      <c r="G15" s="177"/>
      <c r="H15" s="178"/>
      <c r="I15" s="178"/>
    </row>
    <row r="16" spans="1:11" ht="18" customHeight="1" thickBot="1" x14ac:dyDescent="0.3">
      <c r="A16" s="49">
        <v>1</v>
      </c>
      <c r="B16" s="50">
        <v>1</v>
      </c>
      <c r="C16" s="51">
        <v>1.3</v>
      </c>
      <c r="D16" s="51">
        <v>2</v>
      </c>
      <c r="E16" s="52">
        <v>3.2</v>
      </c>
      <c r="G16" s="26"/>
      <c r="H16" s="27"/>
      <c r="I16" s="27"/>
    </row>
    <row r="17" spans="1:9" x14ac:dyDescent="0.25">
      <c r="A17" s="53"/>
      <c r="B17" s="54"/>
      <c r="C17" s="54"/>
      <c r="D17" s="54"/>
      <c r="E17" s="54"/>
      <c r="G17" s="28"/>
      <c r="H17" s="29"/>
      <c r="I17" s="30"/>
    </row>
    <row r="18" spans="1:9" x14ac:dyDescent="0.25">
      <c r="A18" s="53"/>
      <c r="B18" s="54"/>
      <c r="C18" s="54"/>
      <c r="D18" s="54"/>
      <c r="E18" s="54"/>
    </row>
    <row r="19" spans="1:9" x14ac:dyDescent="0.25">
      <c r="A19" s="53"/>
      <c r="B19" s="54"/>
      <c r="C19" s="54"/>
      <c r="D19" s="54"/>
      <c r="E19" s="54"/>
    </row>
    <row r="20" spans="1:9" ht="13.5" customHeight="1" x14ac:dyDescent="0.25">
      <c r="A20" s="53"/>
      <c r="B20" s="54"/>
      <c r="C20" s="54"/>
      <c r="D20" s="54"/>
      <c r="E20" s="54"/>
    </row>
    <row r="21" spans="1:9" x14ac:dyDescent="0.25">
      <c r="A21" s="53"/>
      <c r="B21" s="54"/>
      <c r="C21" s="54"/>
      <c r="D21" s="54"/>
      <c r="E21" s="54"/>
    </row>
    <row r="22" spans="1:9" x14ac:dyDescent="0.25">
      <c r="A22" s="53"/>
      <c r="B22" s="54"/>
      <c r="C22" s="54"/>
      <c r="D22" s="54"/>
      <c r="E22" s="54"/>
    </row>
    <row r="23" spans="1:9" x14ac:dyDescent="0.25">
      <c r="A23" s="53"/>
      <c r="B23" s="54"/>
      <c r="C23" s="54"/>
      <c r="D23" s="54"/>
      <c r="E23" s="54"/>
    </row>
    <row r="24" spans="1:9" x14ac:dyDescent="0.25">
      <c r="A24" s="53"/>
      <c r="B24" s="54"/>
      <c r="C24" s="54"/>
      <c r="D24" s="54"/>
      <c r="E24" s="54"/>
    </row>
    <row r="26" spans="1:9" x14ac:dyDescent="0.25">
      <c r="B26" s="55"/>
      <c r="C26" s="55"/>
      <c r="D26" s="55"/>
      <c r="E26" s="55"/>
    </row>
    <row r="27" spans="1:9" x14ac:dyDescent="0.25">
      <c r="B27" s="55"/>
      <c r="C27" s="55"/>
      <c r="D27" s="55"/>
      <c r="E27" s="55"/>
    </row>
    <row r="28" spans="1:9" x14ac:dyDescent="0.25">
      <c r="B28" s="55"/>
      <c r="C28" s="55"/>
      <c r="D28" s="55"/>
      <c r="E28" s="55"/>
    </row>
    <row r="29" spans="1:9" x14ac:dyDescent="0.25">
      <c r="B29" s="55"/>
      <c r="C29" s="55"/>
      <c r="D29" s="55"/>
      <c r="E29" s="55"/>
    </row>
    <row r="30" spans="1:9" x14ac:dyDescent="0.25">
      <c r="B30" s="55"/>
      <c r="C30" s="55"/>
      <c r="D30" s="55"/>
      <c r="E30" s="55"/>
    </row>
    <row r="31" spans="1:9" x14ac:dyDescent="0.25">
      <c r="B31" s="55"/>
      <c r="C31" s="55"/>
      <c r="D31" s="55"/>
      <c r="E31" s="55"/>
    </row>
    <row r="32" spans="1:9" x14ac:dyDescent="0.25">
      <c r="B32" s="55"/>
      <c r="C32" s="55"/>
      <c r="D32" s="55"/>
      <c r="E32" s="55"/>
    </row>
    <row r="33" spans="2:5" x14ac:dyDescent="0.25">
      <c r="B33" s="55"/>
      <c r="C33" s="55"/>
      <c r="D33" s="55"/>
      <c r="E33" s="55"/>
    </row>
    <row r="34" spans="2:5" ht="13.5" customHeight="1" x14ac:dyDescent="0.25">
      <c r="B34" s="55"/>
      <c r="C34" s="55"/>
      <c r="D34" s="55"/>
      <c r="E34" s="55"/>
    </row>
    <row r="35" spans="2:5" x14ac:dyDescent="0.25">
      <c r="B35" s="55"/>
      <c r="C35" s="55"/>
      <c r="D35" s="55"/>
      <c r="E35" s="55"/>
    </row>
    <row r="36" spans="2:5" x14ac:dyDescent="0.25">
      <c r="B36" s="55"/>
      <c r="C36" s="55"/>
      <c r="D36" s="55"/>
      <c r="E36" s="55"/>
    </row>
    <row r="37" spans="2:5" x14ac:dyDescent="0.25">
      <c r="B37" s="55"/>
      <c r="C37" s="55"/>
      <c r="D37" s="55"/>
      <c r="E37" s="55"/>
    </row>
    <row r="38" spans="2:5" x14ac:dyDescent="0.25">
      <c r="B38" s="55"/>
      <c r="C38" s="55"/>
      <c r="D38" s="55"/>
      <c r="E38" s="55"/>
    </row>
    <row r="39" spans="2:5" x14ac:dyDescent="0.25">
      <c r="B39" s="55"/>
      <c r="C39" s="55"/>
      <c r="D39" s="55"/>
      <c r="E39" s="55"/>
    </row>
    <row r="40" spans="2:5" x14ac:dyDescent="0.25">
      <c r="B40" s="55"/>
      <c r="C40" s="55"/>
      <c r="D40" s="55"/>
      <c r="E40" s="55"/>
    </row>
    <row r="41" spans="2:5" x14ac:dyDescent="0.25">
      <c r="B41" s="55"/>
      <c r="C41" s="55"/>
      <c r="D41" s="55"/>
      <c r="E41" s="55"/>
    </row>
    <row r="42" spans="2:5" x14ac:dyDescent="0.25">
      <c r="B42" s="55"/>
      <c r="C42" s="55"/>
      <c r="D42" s="55"/>
      <c r="E42" s="55"/>
    </row>
    <row r="43" spans="2:5" x14ac:dyDescent="0.25">
      <c r="B43" s="55"/>
      <c r="C43" s="55"/>
      <c r="D43" s="55"/>
      <c r="E43" s="55"/>
    </row>
  </sheetData>
  <mergeCells count="10">
    <mergeCell ref="G15:I15"/>
    <mergeCell ref="G7:I7"/>
    <mergeCell ref="G8:G9"/>
    <mergeCell ref="H8:H9"/>
    <mergeCell ref="I8:I9"/>
    <mergeCell ref="A1:E1"/>
    <mergeCell ref="A2:E2"/>
    <mergeCell ref="B4:E4"/>
    <mergeCell ref="K8:K9"/>
    <mergeCell ref="G13:I13"/>
  </mergeCells>
  <phoneticPr fontId="10" type="noConversion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K43"/>
  <sheetViews>
    <sheetView showGridLines="0" workbookViewId="0">
      <selection activeCell="G20" sqref="G20"/>
    </sheetView>
  </sheetViews>
  <sheetFormatPr defaultColWidth="9.109375" defaultRowHeight="13.2" x14ac:dyDescent="0.25"/>
  <cols>
    <col min="1" max="8" width="9.109375" style="32"/>
    <col min="9" max="9" width="8.5546875" style="32" customWidth="1"/>
    <col min="10" max="10" width="11" style="32" customWidth="1"/>
    <col min="11" max="16384" width="9.109375" style="32"/>
  </cols>
  <sheetData>
    <row r="1" spans="1:11" ht="26.25" customHeight="1" x14ac:dyDescent="0.25">
      <c r="A1" s="214" t="s">
        <v>33</v>
      </c>
      <c r="B1" s="247"/>
      <c r="C1" s="247"/>
      <c r="D1" s="247"/>
      <c r="E1" s="247"/>
    </row>
    <row r="2" spans="1:11" ht="22.8" customHeight="1" x14ac:dyDescent="0.25">
      <c r="A2" s="218" t="s">
        <v>30</v>
      </c>
      <c r="B2" s="248"/>
      <c r="C2" s="248"/>
      <c r="D2" s="248"/>
      <c r="E2" s="248"/>
    </row>
    <row r="3" spans="1:11" ht="18" customHeight="1" thickBot="1" x14ac:dyDescent="0.3">
      <c r="A3" s="33"/>
      <c r="B3" s="33"/>
      <c r="C3" s="33"/>
      <c r="D3" s="33"/>
      <c r="E3" s="33"/>
    </row>
    <row r="4" spans="1:11" ht="18" customHeight="1" thickBot="1" x14ac:dyDescent="0.3">
      <c r="B4" s="260" t="s">
        <v>8</v>
      </c>
      <c r="C4" s="261"/>
      <c r="D4" s="261"/>
      <c r="E4" s="262"/>
    </row>
    <row r="5" spans="1:11" ht="18" customHeight="1" thickBot="1" x14ac:dyDescent="0.3">
      <c r="A5" s="34" t="s">
        <v>11</v>
      </c>
      <c r="B5" s="35">
        <v>0</v>
      </c>
      <c r="C5" s="36">
        <v>30</v>
      </c>
      <c r="D5" s="36">
        <v>45</v>
      </c>
      <c r="E5" s="37">
        <v>60</v>
      </c>
    </row>
    <row r="6" spans="1:11" ht="18" customHeight="1" thickBot="1" x14ac:dyDescent="0.3">
      <c r="A6" s="38">
        <v>0</v>
      </c>
      <c r="B6" s="39">
        <v>1</v>
      </c>
      <c r="C6" s="40">
        <v>1</v>
      </c>
      <c r="D6" s="40">
        <v>1.05</v>
      </c>
      <c r="E6" s="41">
        <v>1.1399999999999999</v>
      </c>
    </row>
    <row r="7" spans="1:11" ht="18" customHeight="1" thickBot="1" x14ac:dyDescent="0.3">
      <c r="A7" s="42">
        <v>0.1</v>
      </c>
      <c r="B7" s="43">
        <v>1</v>
      </c>
      <c r="C7" s="44">
        <v>1</v>
      </c>
      <c r="D7" s="44">
        <v>1.06</v>
      </c>
      <c r="E7" s="45">
        <v>1.2</v>
      </c>
      <c r="G7" s="226" t="s">
        <v>7</v>
      </c>
      <c r="H7" s="227"/>
      <c r="I7" s="227"/>
      <c r="J7" s="251" t="s">
        <v>4</v>
      </c>
      <c r="K7" s="252"/>
    </row>
    <row r="8" spans="1:11" ht="18" customHeight="1" x14ac:dyDescent="0.25">
      <c r="A8" s="42">
        <v>0.2</v>
      </c>
      <c r="B8" s="43">
        <v>1</v>
      </c>
      <c r="C8" s="44">
        <v>1.02</v>
      </c>
      <c r="D8" s="44">
        <v>1.1100000000000001</v>
      </c>
      <c r="E8" s="45">
        <v>1.1599999999999999</v>
      </c>
      <c r="G8" s="257" t="s">
        <v>15</v>
      </c>
      <c r="H8" s="255" t="s">
        <v>10</v>
      </c>
      <c r="I8" s="254" t="s">
        <v>63</v>
      </c>
      <c r="J8" s="46" t="s">
        <v>10</v>
      </c>
      <c r="K8" s="210" t="s">
        <v>1</v>
      </c>
    </row>
    <row r="9" spans="1:11" ht="18" customHeight="1" thickBot="1" x14ac:dyDescent="0.3">
      <c r="A9" s="42">
        <v>0.3</v>
      </c>
      <c r="B9" s="43">
        <v>1</v>
      </c>
      <c r="C9" s="44">
        <v>1.03</v>
      </c>
      <c r="D9" s="44">
        <v>1.0900000000000001</v>
      </c>
      <c r="E9" s="45">
        <v>1.02</v>
      </c>
      <c r="G9" s="259"/>
      <c r="H9" s="256"/>
      <c r="I9" s="253"/>
      <c r="J9" s="47" t="s">
        <v>15</v>
      </c>
      <c r="K9" s="211"/>
    </row>
    <row r="10" spans="1:11" ht="18" customHeight="1" thickBot="1" x14ac:dyDescent="0.3">
      <c r="A10" s="42">
        <v>0.4</v>
      </c>
      <c r="B10" s="43">
        <v>1</v>
      </c>
      <c r="C10" s="44">
        <v>1</v>
      </c>
      <c r="D10" s="44">
        <v>1.01</v>
      </c>
      <c r="E10" s="45">
        <v>0.86</v>
      </c>
      <c r="G10" s="258">
        <f>' 12-20 MeV PDD'!$B$6</f>
        <v>6.1</v>
      </c>
      <c r="H10" s="24">
        <v>5</v>
      </c>
      <c r="I10" s="31">
        <v>45</v>
      </c>
      <c r="J10" s="249">
        <f>H10/G10</f>
        <v>0.81967213114754101</v>
      </c>
      <c r="K10" s="250">
        <f>Interpolate2DTable(H10/G10,I10,$A$5:$E$16)</f>
        <v>0.92688524590163923</v>
      </c>
    </row>
    <row r="11" spans="1:11" ht="18" customHeight="1" x14ac:dyDescent="0.25">
      <c r="A11" s="42">
        <v>0.5</v>
      </c>
      <c r="B11" s="43">
        <v>1</v>
      </c>
      <c r="C11" s="44">
        <v>0.96</v>
      </c>
      <c r="D11" s="44">
        <v>0.92</v>
      </c>
      <c r="E11" s="45">
        <v>0.74</v>
      </c>
    </row>
    <row r="12" spans="1:11" ht="18" customHeight="1" x14ac:dyDescent="0.25">
      <c r="A12" s="42">
        <v>0.6</v>
      </c>
      <c r="B12" s="43">
        <v>1</v>
      </c>
      <c r="C12" s="44">
        <v>0.9</v>
      </c>
      <c r="D12" s="44">
        <v>0.82</v>
      </c>
      <c r="E12" s="45">
        <v>0.63</v>
      </c>
    </row>
    <row r="13" spans="1:11" ht="18" customHeight="1" x14ac:dyDescent="0.25">
      <c r="A13" s="42">
        <v>0.7</v>
      </c>
      <c r="B13" s="43">
        <v>1</v>
      </c>
      <c r="C13" s="44">
        <v>0.86</v>
      </c>
      <c r="D13" s="44">
        <v>0.77</v>
      </c>
      <c r="E13" s="45">
        <v>0.62</v>
      </c>
      <c r="G13" s="212"/>
      <c r="H13" s="213"/>
      <c r="I13" s="213"/>
    </row>
    <row r="14" spans="1:11" ht="18" customHeight="1" x14ac:dyDescent="0.25">
      <c r="A14" s="42">
        <v>0.8</v>
      </c>
      <c r="B14" s="43">
        <v>1</v>
      </c>
      <c r="C14" s="44">
        <v>0.9</v>
      </c>
      <c r="D14" s="44">
        <v>0.86</v>
      </c>
      <c r="E14" s="45">
        <v>0.74</v>
      </c>
      <c r="G14" s="48"/>
      <c r="H14" s="48"/>
      <c r="I14" s="48"/>
    </row>
    <row r="15" spans="1:11" ht="18" customHeight="1" x14ac:dyDescent="0.25">
      <c r="A15" s="42">
        <v>0.9</v>
      </c>
      <c r="B15" s="43">
        <v>1</v>
      </c>
      <c r="C15" s="44">
        <v>1.1100000000000001</v>
      </c>
      <c r="D15" s="44">
        <v>1.2</v>
      </c>
      <c r="E15" s="45">
        <v>1.1399999999999999</v>
      </c>
      <c r="G15" s="177"/>
      <c r="H15" s="178"/>
      <c r="I15" s="178"/>
    </row>
    <row r="16" spans="1:11" ht="18" customHeight="1" thickBot="1" x14ac:dyDescent="0.3">
      <c r="A16" s="49">
        <v>1</v>
      </c>
      <c r="B16" s="50">
        <v>1</v>
      </c>
      <c r="C16" s="51">
        <v>1.5</v>
      </c>
      <c r="D16" s="51">
        <v>2.5</v>
      </c>
      <c r="E16" s="52">
        <v>3</v>
      </c>
      <c r="G16" s="26"/>
      <c r="H16" s="27"/>
      <c r="I16" s="27"/>
    </row>
    <row r="17" spans="1:9" x14ac:dyDescent="0.25">
      <c r="A17" s="53"/>
      <c r="B17" s="54"/>
      <c r="C17" s="54"/>
      <c r="D17" s="54"/>
      <c r="E17" s="54"/>
      <c r="G17" s="28"/>
      <c r="H17" s="29"/>
      <c r="I17" s="30"/>
    </row>
    <row r="18" spans="1:9" x14ac:dyDescent="0.25">
      <c r="A18" s="53"/>
      <c r="B18" s="54"/>
      <c r="C18" s="54"/>
      <c r="D18" s="54"/>
      <c r="E18" s="54"/>
    </row>
    <row r="19" spans="1:9" x14ac:dyDescent="0.25">
      <c r="A19" s="53"/>
      <c r="B19" s="54"/>
      <c r="C19" s="54"/>
      <c r="D19" s="54"/>
      <c r="E19" s="54"/>
    </row>
    <row r="20" spans="1:9" ht="13.5" customHeight="1" x14ac:dyDescent="0.25">
      <c r="A20" s="53"/>
      <c r="B20" s="54"/>
      <c r="C20" s="54"/>
      <c r="D20" s="54"/>
      <c r="E20" s="54"/>
    </row>
    <row r="21" spans="1:9" x14ac:dyDescent="0.25">
      <c r="A21" s="53"/>
      <c r="B21" s="54"/>
      <c r="C21" s="54"/>
      <c r="D21" s="54"/>
      <c r="E21" s="54"/>
    </row>
    <row r="22" spans="1:9" x14ac:dyDescent="0.25">
      <c r="A22" s="53"/>
      <c r="B22" s="54"/>
      <c r="C22" s="54"/>
      <c r="D22" s="54"/>
      <c r="E22" s="54"/>
    </row>
    <row r="23" spans="1:9" x14ac:dyDescent="0.25">
      <c r="A23" s="53"/>
      <c r="B23" s="54"/>
      <c r="C23" s="54"/>
      <c r="D23" s="54"/>
      <c r="E23" s="54"/>
    </row>
    <row r="24" spans="1:9" x14ac:dyDescent="0.25">
      <c r="A24" s="53"/>
      <c r="B24" s="54"/>
      <c r="C24" s="54"/>
      <c r="D24" s="54"/>
      <c r="E24" s="54"/>
    </row>
    <row r="26" spans="1:9" x14ac:dyDescent="0.25">
      <c r="B26" s="55"/>
      <c r="C26" s="55"/>
      <c r="D26" s="55"/>
      <c r="E26" s="55"/>
    </row>
    <row r="27" spans="1:9" x14ac:dyDescent="0.25">
      <c r="B27" s="55"/>
      <c r="C27" s="55"/>
      <c r="D27" s="55"/>
      <c r="E27" s="55"/>
    </row>
    <row r="28" spans="1:9" x14ac:dyDescent="0.25">
      <c r="B28" s="55"/>
      <c r="C28" s="55"/>
      <c r="D28" s="55"/>
      <c r="E28" s="55"/>
    </row>
    <row r="29" spans="1:9" x14ac:dyDescent="0.25">
      <c r="B29" s="55"/>
      <c r="C29" s="55"/>
      <c r="D29" s="55"/>
      <c r="E29" s="55"/>
    </row>
    <row r="30" spans="1:9" x14ac:dyDescent="0.25">
      <c r="B30" s="55"/>
      <c r="C30" s="55"/>
      <c r="D30" s="55"/>
      <c r="E30" s="55"/>
    </row>
    <row r="31" spans="1:9" x14ac:dyDescent="0.25">
      <c r="B31" s="55"/>
      <c r="C31" s="55"/>
      <c r="D31" s="55"/>
      <c r="E31" s="55"/>
    </row>
    <row r="32" spans="1:9" x14ac:dyDescent="0.25">
      <c r="B32" s="55"/>
      <c r="C32" s="55"/>
      <c r="D32" s="55"/>
      <c r="E32" s="55"/>
    </row>
    <row r="33" spans="2:5" x14ac:dyDescent="0.25">
      <c r="B33" s="55"/>
      <c r="C33" s="55"/>
      <c r="D33" s="55"/>
      <c r="E33" s="55"/>
    </row>
    <row r="34" spans="2:5" ht="13.5" customHeight="1" x14ac:dyDescent="0.25">
      <c r="B34" s="55"/>
      <c r="C34" s="55"/>
      <c r="D34" s="55"/>
      <c r="E34" s="55"/>
    </row>
    <row r="35" spans="2:5" x14ac:dyDescent="0.25">
      <c r="B35" s="55"/>
      <c r="C35" s="55"/>
      <c r="D35" s="55"/>
      <c r="E35" s="55"/>
    </row>
    <row r="36" spans="2:5" x14ac:dyDescent="0.25">
      <c r="B36" s="55"/>
      <c r="C36" s="55"/>
      <c r="D36" s="55"/>
      <c r="E36" s="55"/>
    </row>
    <row r="37" spans="2:5" x14ac:dyDescent="0.25">
      <c r="B37" s="55"/>
      <c r="C37" s="55"/>
      <c r="D37" s="55"/>
      <c r="E37" s="55"/>
    </row>
    <row r="38" spans="2:5" x14ac:dyDescent="0.25">
      <c r="B38" s="55"/>
      <c r="C38" s="55"/>
      <c r="D38" s="55"/>
      <c r="E38" s="55"/>
    </row>
    <row r="39" spans="2:5" x14ac:dyDescent="0.25">
      <c r="B39" s="55"/>
      <c r="C39" s="55"/>
      <c r="D39" s="55"/>
      <c r="E39" s="55"/>
    </row>
    <row r="40" spans="2:5" x14ac:dyDescent="0.25">
      <c r="B40" s="55"/>
      <c r="C40" s="55"/>
      <c r="D40" s="55"/>
      <c r="E40" s="55"/>
    </row>
    <row r="41" spans="2:5" x14ac:dyDescent="0.25">
      <c r="B41" s="55"/>
      <c r="C41" s="55"/>
      <c r="D41" s="55"/>
      <c r="E41" s="55"/>
    </row>
    <row r="42" spans="2:5" x14ac:dyDescent="0.25">
      <c r="B42" s="55"/>
      <c r="C42" s="55"/>
      <c r="D42" s="55"/>
      <c r="E42" s="55"/>
    </row>
    <row r="43" spans="2:5" x14ac:dyDescent="0.25">
      <c r="B43" s="55"/>
      <c r="C43" s="55"/>
      <c r="D43" s="55"/>
      <c r="E43" s="55"/>
    </row>
  </sheetData>
  <mergeCells count="10">
    <mergeCell ref="K8:K9"/>
    <mergeCell ref="G13:I13"/>
    <mergeCell ref="G8:G9"/>
    <mergeCell ref="H8:H9"/>
    <mergeCell ref="I8:I9"/>
    <mergeCell ref="G15:I15"/>
    <mergeCell ref="G7:I7"/>
    <mergeCell ref="A1:E1"/>
    <mergeCell ref="A2:E2"/>
    <mergeCell ref="B4:E4"/>
  </mergeCells>
  <phoneticPr fontId="10" type="noConversion"/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K43"/>
  <sheetViews>
    <sheetView showGridLines="0" workbookViewId="0">
      <selection activeCell="G20" sqref="G20"/>
    </sheetView>
  </sheetViews>
  <sheetFormatPr defaultColWidth="9.109375" defaultRowHeight="13.2" x14ac:dyDescent="0.25"/>
  <cols>
    <col min="1" max="8" width="9.109375" style="32"/>
    <col min="9" max="9" width="8.5546875" style="32" customWidth="1"/>
    <col min="10" max="10" width="11" style="32" customWidth="1"/>
    <col min="11" max="16384" width="9.109375" style="32"/>
  </cols>
  <sheetData>
    <row r="1" spans="1:11" ht="26.25" customHeight="1" x14ac:dyDescent="0.25">
      <c r="A1" s="214" t="s">
        <v>32</v>
      </c>
      <c r="B1" s="247"/>
      <c r="C1" s="247"/>
      <c r="D1" s="247"/>
      <c r="E1" s="247"/>
    </row>
    <row r="2" spans="1:11" ht="22.8" customHeight="1" x14ac:dyDescent="0.25">
      <c r="A2" s="218" t="s">
        <v>30</v>
      </c>
      <c r="B2" s="248"/>
      <c r="C2" s="248"/>
      <c r="D2" s="248"/>
      <c r="E2" s="248"/>
    </row>
    <row r="3" spans="1:11" ht="18" customHeight="1" thickBot="1" x14ac:dyDescent="0.3">
      <c r="A3" s="33"/>
      <c r="B3" s="33"/>
      <c r="C3" s="33"/>
      <c r="D3" s="33"/>
      <c r="E3" s="33"/>
    </row>
    <row r="4" spans="1:11" ht="18" customHeight="1" thickBot="1" x14ac:dyDescent="0.3">
      <c r="B4" s="260" t="s">
        <v>8</v>
      </c>
      <c r="C4" s="261"/>
      <c r="D4" s="261"/>
      <c r="E4" s="262"/>
    </row>
    <row r="5" spans="1:11" ht="18" customHeight="1" thickBot="1" x14ac:dyDescent="0.3">
      <c r="A5" s="34" t="s">
        <v>11</v>
      </c>
      <c r="B5" s="35">
        <v>0</v>
      </c>
      <c r="C5" s="36">
        <v>30</v>
      </c>
      <c r="D5" s="36">
        <v>45</v>
      </c>
      <c r="E5" s="37">
        <v>60</v>
      </c>
    </row>
    <row r="6" spans="1:11" ht="18" customHeight="1" thickBot="1" x14ac:dyDescent="0.3">
      <c r="A6" s="38">
        <v>0</v>
      </c>
      <c r="B6" s="39">
        <v>1</v>
      </c>
      <c r="C6" s="40">
        <v>0.98</v>
      </c>
      <c r="D6" s="40">
        <v>1.0266666666666666</v>
      </c>
      <c r="E6" s="41">
        <v>1.0866666666666667</v>
      </c>
    </row>
    <row r="7" spans="1:11" ht="18" customHeight="1" thickBot="1" x14ac:dyDescent="0.3">
      <c r="A7" s="42">
        <v>0.1</v>
      </c>
      <c r="B7" s="43">
        <v>1</v>
      </c>
      <c r="C7" s="44">
        <v>1</v>
      </c>
      <c r="D7" s="44">
        <v>1.04</v>
      </c>
      <c r="E7" s="45">
        <v>1.1533333333333333</v>
      </c>
      <c r="G7" s="226" t="s">
        <v>7</v>
      </c>
      <c r="H7" s="227"/>
      <c r="I7" s="227"/>
      <c r="J7" s="251" t="s">
        <v>4</v>
      </c>
      <c r="K7" s="252"/>
    </row>
    <row r="8" spans="1:11" ht="18" customHeight="1" x14ac:dyDescent="0.25">
      <c r="A8" s="42">
        <v>0.2</v>
      </c>
      <c r="B8" s="43">
        <v>1</v>
      </c>
      <c r="C8" s="44">
        <v>1.0066666666666666</v>
      </c>
      <c r="D8" s="44">
        <v>1.0666666666666667</v>
      </c>
      <c r="E8" s="45">
        <v>1.1466666666666665</v>
      </c>
      <c r="G8" s="257" t="s">
        <v>15</v>
      </c>
      <c r="H8" s="255" t="s">
        <v>10</v>
      </c>
      <c r="I8" s="254" t="s">
        <v>63</v>
      </c>
      <c r="J8" s="46" t="s">
        <v>10</v>
      </c>
      <c r="K8" s="210" t="s">
        <v>1</v>
      </c>
    </row>
    <row r="9" spans="1:11" ht="18" customHeight="1" thickBot="1" x14ac:dyDescent="0.3">
      <c r="A9" s="42">
        <v>0.3</v>
      </c>
      <c r="B9" s="43">
        <v>1</v>
      </c>
      <c r="C9" s="44">
        <v>1.0133333333333334</v>
      </c>
      <c r="D9" s="44">
        <v>1.0833333333333335</v>
      </c>
      <c r="E9" s="45">
        <v>1.07</v>
      </c>
      <c r="G9" s="259"/>
      <c r="H9" s="256"/>
      <c r="I9" s="253"/>
      <c r="J9" s="47" t="s">
        <v>15</v>
      </c>
      <c r="K9" s="211"/>
    </row>
    <row r="10" spans="1:11" ht="18" customHeight="1" thickBot="1" x14ac:dyDescent="0.3">
      <c r="A10" s="42">
        <v>0.4</v>
      </c>
      <c r="B10" s="43">
        <v>1</v>
      </c>
      <c r="C10" s="44">
        <v>1.0166666666666666</v>
      </c>
      <c r="D10" s="44">
        <v>1.04</v>
      </c>
      <c r="E10" s="45">
        <v>0.94</v>
      </c>
      <c r="G10" s="258">
        <f>' 12-20 MeV PDD'!$C$6</f>
        <v>8.3000000000000007</v>
      </c>
      <c r="H10" s="24">
        <v>5</v>
      </c>
      <c r="I10" s="31">
        <v>45</v>
      </c>
      <c r="J10" s="249">
        <f>H10/G10</f>
        <v>0.60240963855421681</v>
      </c>
      <c r="K10" s="250">
        <f>Interpolate2DTable(H10/G10,I10,$A$5:$E$16)</f>
        <v>0.8722088353413654</v>
      </c>
    </row>
    <row r="11" spans="1:11" ht="18" customHeight="1" x14ac:dyDescent="0.25">
      <c r="A11" s="42">
        <v>0.5</v>
      </c>
      <c r="B11" s="43">
        <v>1</v>
      </c>
      <c r="C11" s="44">
        <v>0.98666666666666669</v>
      </c>
      <c r="D11" s="44">
        <v>0.94333333333333336</v>
      </c>
      <c r="E11" s="45">
        <v>0.80666666666666664</v>
      </c>
    </row>
    <row r="12" spans="1:11" ht="18" customHeight="1" x14ac:dyDescent="0.25">
      <c r="A12" s="42">
        <v>0.6</v>
      </c>
      <c r="B12" s="43">
        <v>1</v>
      </c>
      <c r="C12" s="44">
        <v>0.92666666666666664</v>
      </c>
      <c r="D12" s="44">
        <v>0.87333333333333329</v>
      </c>
      <c r="E12" s="45">
        <v>0.70666666666666667</v>
      </c>
    </row>
    <row r="13" spans="1:11" ht="18" customHeight="1" x14ac:dyDescent="0.25">
      <c r="A13" s="42">
        <v>0.7</v>
      </c>
      <c r="B13" s="43">
        <v>1</v>
      </c>
      <c r="C13" s="44">
        <v>0.88</v>
      </c>
      <c r="D13" s="44">
        <v>0.82666666666666666</v>
      </c>
      <c r="E13" s="45">
        <v>0.67333333333333334</v>
      </c>
      <c r="G13" s="212"/>
      <c r="H13" s="213"/>
      <c r="I13" s="213"/>
    </row>
    <row r="14" spans="1:11" ht="18" customHeight="1" x14ac:dyDescent="0.25">
      <c r="A14" s="42">
        <v>0.8</v>
      </c>
      <c r="B14" s="43">
        <v>1</v>
      </c>
      <c r="C14" s="44">
        <v>0.83</v>
      </c>
      <c r="D14" s="44">
        <v>0.84333333333333327</v>
      </c>
      <c r="E14" s="45">
        <v>0.68333333333333335</v>
      </c>
      <c r="G14" s="48"/>
      <c r="H14" s="48"/>
      <c r="I14" s="48"/>
    </row>
    <row r="15" spans="1:11" ht="18" customHeight="1" x14ac:dyDescent="0.25">
      <c r="A15" s="42">
        <v>0.9</v>
      </c>
      <c r="B15" s="43">
        <v>1</v>
      </c>
      <c r="C15" s="44">
        <v>1.1333333333333333</v>
      </c>
      <c r="D15" s="44">
        <v>1.2866666666666666</v>
      </c>
      <c r="E15" s="45">
        <v>1.1933333333333334</v>
      </c>
      <c r="G15" s="177"/>
      <c r="H15" s="178"/>
      <c r="I15" s="178"/>
    </row>
    <row r="16" spans="1:11" ht="18" customHeight="1" thickBot="1" x14ac:dyDescent="0.3">
      <c r="A16" s="49">
        <v>1</v>
      </c>
      <c r="B16" s="50">
        <v>1</v>
      </c>
      <c r="C16" s="51">
        <v>1.5133333333333334</v>
      </c>
      <c r="D16" s="51">
        <v>2.23</v>
      </c>
      <c r="E16" s="52">
        <v>2.6533333333333333</v>
      </c>
      <c r="G16" s="26"/>
      <c r="H16" s="27"/>
      <c r="I16" s="27"/>
    </row>
    <row r="17" spans="1:9" x14ac:dyDescent="0.25">
      <c r="A17" s="53"/>
      <c r="B17" s="54"/>
      <c r="C17" s="54"/>
      <c r="D17" s="54"/>
      <c r="E17" s="54"/>
      <c r="G17" s="28"/>
      <c r="H17" s="29"/>
      <c r="I17" s="30"/>
    </row>
    <row r="18" spans="1:9" x14ac:dyDescent="0.25">
      <c r="A18" s="53"/>
      <c r="B18" s="54"/>
      <c r="C18" s="54"/>
      <c r="D18" s="54"/>
      <c r="E18" s="54"/>
    </row>
    <row r="19" spans="1:9" x14ac:dyDescent="0.25">
      <c r="A19" s="53"/>
      <c r="B19" s="54"/>
      <c r="C19" s="54"/>
      <c r="D19" s="54"/>
      <c r="E19" s="54"/>
    </row>
    <row r="20" spans="1:9" ht="13.5" customHeight="1" x14ac:dyDescent="0.25">
      <c r="A20" s="53"/>
      <c r="B20" s="54"/>
      <c r="C20" s="54"/>
      <c r="D20" s="54"/>
      <c r="E20" s="54"/>
    </row>
    <row r="21" spans="1:9" x14ac:dyDescent="0.25">
      <c r="A21" s="53"/>
      <c r="B21" s="54"/>
      <c r="C21" s="54"/>
      <c r="D21" s="54"/>
      <c r="E21" s="54"/>
    </row>
    <row r="22" spans="1:9" x14ac:dyDescent="0.25">
      <c r="A22" s="53"/>
      <c r="B22" s="54"/>
      <c r="C22" s="54"/>
      <c r="D22" s="54"/>
      <c r="E22" s="54"/>
    </row>
    <row r="23" spans="1:9" x14ac:dyDescent="0.25">
      <c r="A23" s="53"/>
      <c r="B23" s="54"/>
      <c r="C23" s="54"/>
      <c r="D23" s="54"/>
      <c r="E23" s="54"/>
    </row>
    <row r="24" spans="1:9" x14ac:dyDescent="0.25">
      <c r="A24" s="53"/>
      <c r="B24" s="54"/>
      <c r="C24" s="54"/>
      <c r="D24" s="54"/>
      <c r="E24" s="54"/>
    </row>
    <row r="26" spans="1:9" x14ac:dyDescent="0.25">
      <c r="B26" s="55"/>
      <c r="C26" s="55"/>
      <c r="D26" s="55"/>
      <c r="E26" s="55"/>
    </row>
    <row r="27" spans="1:9" x14ac:dyDescent="0.25">
      <c r="B27" s="55"/>
      <c r="C27" s="55"/>
      <c r="D27" s="55"/>
      <c r="E27" s="55"/>
    </row>
    <row r="28" spans="1:9" x14ac:dyDescent="0.25">
      <c r="B28" s="55"/>
      <c r="C28" s="55"/>
      <c r="D28" s="55"/>
      <c r="E28" s="55"/>
    </row>
    <row r="29" spans="1:9" x14ac:dyDescent="0.25">
      <c r="B29" s="55"/>
      <c r="C29" s="55"/>
      <c r="D29" s="55"/>
      <c r="E29" s="55"/>
    </row>
    <row r="30" spans="1:9" x14ac:dyDescent="0.25">
      <c r="B30" s="55"/>
      <c r="C30" s="55"/>
      <c r="D30" s="55"/>
      <c r="E30" s="55"/>
    </row>
    <row r="31" spans="1:9" x14ac:dyDescent="0.25">
      <c r="B31" s="55"/>
      <c r="C31" s="55"/>
      <c r="D31" s="55"/>
      <c r="E31" s="55"/>
    </row>
    <row r="32" spans="1:9" x14ac:dyDescent="0.25">
      <c r="B32" s="55"/>
      <c r="C32" s="55"/>
      <c r="D32" s="55"/>
      <c r="E32" s="55"/>
    </row>
    <row r="33" spans="2:5" x14ac:dyDescent="0.25">
      <c r="B33" s="55"/>
      <c r="C33" s="55"/>
      <c r="D33" s="55"/>
      <c r="E33" s="55"/>
    </row>
    <row r="34" spans="2:5" ht="13.5" customHeight="1" x14ac:dyDescent="0.25">
      <c r="B34" s="55"/>
      <c r="C34" s="55"/>
      <c r="D34" s="55"/>
      <c r="E34" s="55"/>
    </row>
    <row r="35" spans="2:5" x14ac:dyDescent="0.25">
      <c r="B35" s="55"/>
      <c r="C35" s="55"/>
      <c r="D35" s="55"/>
      <c r="E35" s="55"/>
    </row>
    <row r="36" spans="2:5" x14ac:dyDescent="0.25">
      <c r="B36" s="55"/>
      <c r="C36" s="55"/>
      <c r="D36" s="55"/>
      <c r="E36" s="55"/>
    </row>
    <row r="37" spans="2:5" x14ac:dyDescent="0.25">
      <c r="B37" s="55"/>
      <c r="C37" s="55"/>
      <c r="D37" s="55"/>
      <c r="E37" s="55"/>
    </row>
    <row r="38" spans="2:5" x14ac:dyDescent="0.25">
      <c r="B38" s="55"/>
      <c r="C38" s="55"/>
      <c r="D38" s="55"/>
      <c r="E38" s="55"/>
    </row>
    <row r="39" spans="2:5" x14ac:dyDescent="0.25">
      <c r="B39" s="55"/>
      <c r="C39" s="55"/>
      <c r="D39" s="55"/>
      <c r="E39" s="55"/>
    </row>
    <row r="40" spans="2:5" x14ac:dyDescent="0.25">
      <c r="B40" s="55"/>
      <c r="C40" s="55"/>
      <c r="D40" s="55"/>
      <c r="E40" s="55"/>
    </row>
    <row r="41" spans="2:5" x14ac:dyDescent="0.25">
      <c r="B41" s="55"/>
      <c r="C41" s="55"/>
      <c r="D41" s="55"/>
      <c r="E41" s="55"/>
    </row>
    <row r="42" spans="2:5" x14ac:dyDescent="0.25">
      <c r="B42" s="55"/>
      <c r="C42" s="55"/>
      <c r="D42" s="55"/>
      <c r="E42" s="55"/>
    </row>
    <row r="43" spans="2:5" x14ac:dyDescent="0.25">
      <c r="B43" s="55"/>
      <c r="C43" s="55"/>
      <c r="D43" s="55"/>
      <c r="E43" s="55"/>
    </row>
  </sheetData>
  <mergeCells count="10">
    <mergeCell ref="G15:I15"/>
    <mergeCell ref="G7:I7"/>
    <mergeCell ref="G8:G9"/>
    <mergeCell ref="H8:H9"/>
    <mergeCell ref="I8:I9"/>
    <mergeCell ref="A1:E1"/>
    <mergeCell ref="A2:E2"/>
    <mergeCell ref="B4:E4"/>
    <mergeCell ref="K8:K9"/>
    <mergeCell ref="G13:I13"/>
  </mergeCells>
  <phoneticPr fontId="10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K43"/>
  <sheetViews>
    <sheetView showGridLines="0" workbookViewId="0">
      <selection activeCell="M31" sqref="M31"/>
    </sheetView>
  </sheetViews>
  <sheetFormatPr defaultColWidth="9.109375" defaultRowHeight="13.2" x14ac:dyDescent="0.25"/>
  <cols>
    <col min="1" max="8" width="9.109375" style="32"/>
    <col min="9" max="9" width="8.5546875" style="32" customWidth="1"/>
    <col min="10" max="10" width="11" style="32" customWidth="1"/>
    <col min="11" max="16384" width="9.109375" style="32"/>
  </cols>
  <sheetData>
    <row r="1" spans="1:11" ht="26.25" customHeight="1" x14ac:dyDescent="0.25">
      <c r="A1" s="214" t="s">
        <v>31</v>
      </c>
      <c r="B1" s="247"/>
      <c r="C1" s="247"/>
      <c r="D1" s="247"/>
      <c r="E1" s="247"/>
    </row>
    <row r="2" spans="1:11" ht="22.8" customHeight="1" x14ac:dyDescent="0.25">
      <c r="A2" s="218" t="s">
        <v>30</v>
      </c>
      <c r="B2" s="248"/>
      <c r="C2" s="248"/>
      <c r="D2" s="248"/>
      <c r="E2" s="248"/>
    </row>
    <row r="3" spans="1:11" ht="18" customHeight="1" thickBot="1" x14ac:dyDescent="0.3">
      <c r="A3" s="33"/>
      <c r="B3" s="33"/>
      <c r="C3" s="33"/>
      <c r="D3" s="33"/>
      <c r="E3" s="33"/>
    </row>
    <row r="4" spans="1:11" ht="18" customHeight="1" thickBot="1" x14ac:dyDescent="0.3">
      <c r="B4" s="260" t="s">
        <v>8</v>
      </c>
      <c r="C4" s="261"/>
      <c r="D4" s="261"/>
      <c r="E4" s="262"/>
    </row>
    <row r="5" spans="1:11" ht="18" customHeight="1" thickBot="1" x14ac:dyDescent="0.3">
      <c r="A5" s="34" t="s">
        <v>11</v>
      </c>
      <c r="B5" s="35">
        <v>0</v>
      </c>
      <c r="C5" s="36">
        <v>30</v>
      </c>
      <c r="D5" s="36">
        <v>45</v>
      </c>
      <c r="E5" s="37">
        <v>60</v>
      </c>
    </row>
    <row r="6" spans="1:11" ht="18" customHeight="1" thickBot="1" x14ac:dyDescent="0.3">
      <c r="A6" s="38">
        <v>0</v>
      </c>
      <c r="B6" s="39">
        <v>1</v>
      </c>
      <c r="C6" s="40">
        <v>0.99</v>
      </c>
      <c r="D6" s="40">
        <v>1.0249999999999999</v>
      </c>
      <c r="E6" s="41">
        <v>1.06</v>
      </c>
    </row>
    <row r="7" spans="1:11" ht="18" customHeight="1" thickBot="1" x14ac:dyDescent="0.3">
      <c r="A7" s="42">
        <v>0.1</v>
      </c>
      <c r="B7" s="43">
        <v>1</v>
      </c>
      <c r="C7" s="44">
        <v>1</v>
      </c>
      <c r="D7" s="44">
        <v>1.0349999999999999</v>
      </c>
      <c r="E7" s="45">
        <v>1.1100000000000001</v>
      </c>
      <c r="G7" s="226" t="s">
        <v>7</v>
      </c>
      <c r="H7" s="227"/>
      <c r="I7" s="227"/>
      <c r="J7" s="251" t="s">
        <v>4</v>
      </c>
      <c r="K7" s="252"/>
    </row>
    <row r="8" spans="1:11" ht="18" customHeight="1" x14ac:dyDescent="0.25">
      <c r="A8" s="42">
        <v>0.2</v>
      </c>
      <c r="B8" s="43">
        <v>1</v>
      </c>
      <c r="C8" s="44">
        <v>1</v>
      </c>
      <c r="D8" s="44">
        <v>1.0549999999999999</v>
      </c>
      <c r="E8" s="45">
        <v>1.1299999999999999</v>
      </c>
      <c r="G8" s="257" t="s">
        <v>15</v>
      </c>
      <c r="H8" s="255" t="s">
        <v>10</v>
      </c>
      <c r="I8" s="254" t="s">
        <v>63</v>
      </c>
      <c r="J8" s="46" t="s">
        <v>10</v>
      </c>
      <c r="K8" s="210" t="s">
        <v>1</v>
      </c>
    </row>
    <row r="9" spans="1:11" ht="18" customHeight="1" thickBot="1" x14ac:dyDescent="0.3">
      <c r="A9" s="42">
        <v>0.3</v>
      </c>
      <c r="B9" s="43">
        <v>1</v>
      </c>
      <c r="C9" s="44">
        <v>1.0049999999999999</v>
      </c>
      <c r="D9" s="44">
        <v>1.0649999999999999</v>
      </c>
      <c r="E9" s="45">
        <v>1.07</v>
      </c>
      <c r="G9" s="259"/>
      <c r="H9" s="256"/>
      <c r="I9" s="253"/>
      <c r="J9" s="47" t="s">
        <v>15</v>
      </c>
      <c r="K9" s="211"/>
    </row>
    <row r="10" spans="1:11" ht="18" customHeight="1" thickBot="1" x14ac:dyDescent="0.3">
      <c r="A10" s="42">
        <v>0.4</v>
      </c>
      <c r="B10" s="43">
        <v>1</v>
      </c>
      <c r="C10" s="44">
        <v>1.01</v>
      </c>
      <c r="D10" s="44">
        <v>1.04</v>
      </c>
      <c r="E10" s="45">
        <v>0.98</v>
      </c>
      <c r="G10" s="258">
        <f>' 12-20 MeV PDD'!$D$6</f>
        <v>10.4</v>
      </c>
      <c r="H10" s="24">
        <v>5</v>
      </c>
      <c r="I10" s="31">
        <v>45</v>
      </c>
      <c r="J10" s="249">
        <f>H10/G10</f>
        <v>0.48076923076923073</v>
      </c>
      <c r="K10" s="250">
        <f>Interpolate2DTable(H10/G10,I10,$A$5:$E$16)</f>
        <v>1.0036538461538462</v>
      </c>
    </row>
    <row r="11" spans="1:11" ht="18" customHeight="1" x14ac:dyDescent="0.25">
      <c r="A11" s="42">
        <v>0.5</v>
      </c>
      <c r="B11" s="43">
        <v>1</v>
      </c>
      <c r="C11" s="44">
        <v>1</v>
      </c>
      <c r="D11" s="44">
        <v>0.995</v>
      </c>
      <c r="E11" s="45">
        <v>0.85499999999999998</v>
      </c>
    </row>
    <row r="12" spans="1:11" ht="18" customHeight="1" x14ac:dyDescent="0.25">
      <c r="A12" s="42">
        <v>0.6</v>
      </c>
      <c r="B12" s="43">
        <v>1</v>
      </c>
      <c r="C12" s="44">
        <v>0.94499999999999995</v>
      </c>
      <c r="D12" s="44">
        <v>0.91500000000000004</v>
      </c>
      <c r="E12" s="45">
        <v>0.745</v>
      </c>
    </row>
    <row r="13" spans="1:11" ht="18" customHeight="1" x14ac:dyDescent="0.25">
      <c r="A13" s="42">
        <v>0.7</v>
      </c>
      <c r="B13" s="43">
        <v>1</v>
      </c>
      <c r="C13" s="44">
        <v>0.91</v>
      </c>
      <c r="D13" s="44">
        <v>0.84</v>
      </c>
      <c r="E13" s="45">
        <v>0.69</v>
      </c>
      <c r="G13" s="212"/>
      <c r="H13" s="213"/>
      <c r="I13" s="213"/>
    </row>
    <row r="14" spans="1:11" ht="18" customHeight="1" x14ac:dyDescent="0.25">
      <c r="A14" s="42">
        <v>0.8</v>
      </c>
      <c r="B14" s="43">
        <v>1</v>
      </c>
      <c r="C14" s="44">
        <v>0.89</v>
      </c>
      <c r="D14" s="44">
        <v>0.85</v>
      </c>
      <c r="E14" s="45">
        <v>0.73</v>
      </c>
      <c r="G14" s="48"/>
      <c r="H14" s="48"/>
      <c r="I14" s="48"/>
    </row>
    <row r="15" spans="1:11" ht="18" customHeight="1" x14ac:dyDescent="0.25">
      <c r="A15" s="42">
        <v>0.9</v>
      </c>
      <c r="B15" s="43">
        <v>1</v>
      </c>
      <c r="C15" s="44">
        <v>1.0449999999999999</v>
      </c>
      <c r="D15" s="44">
        <v>1.1499999999999999</v>
      </c>
      <c r="E15" s="45">
        <v>1.105</v>
      </c>
      <c r="G15" s="177"/>
      <c r="H15" s="178"/>
      <c r="I15" s="178"/>
    </row>
    <row r="16" spans="1:11" ht="18" customHeight="1" thickBot="1" x14ac:dyDescent="0.3">
      <c r="A16" s="49">
        <v>1</v>
      </c>
      <c r="B16" s="50">
        <v>1</v>
      </c>
      <c r="C16" s="51">
        <v>1.48</v>
      </c>
      <c r="D16" s="51">
        <v>2.2400000000000002</v>
      </c>
      <c r="E16" s="52">
        <v>2.3849999999999998</v>
      </c>
      <c r="G16" s="26"/>
      <c r="H16" s="27"/>
      <c r="I16" s="27"/>
    </row>
    <row r="17" spans="1:9" x14ac:dyDescent="0.25">
      <c r="A17" s="53"/>
      <c r="B17" s="54"/>
      <c r="C17" s="54"/>
      <c r="D17" s="54"/>
      <c r="E17" s="54"/>
      <c r="G17" s="28"/>
      <c r="H17" s="29"/>
      <c r="I17" s="30"/>
    </row>
    <row r="18" spans="1:9" x14ac:dyDescent="0.25">
      <c r="A18" s="53"/>
      <c r="B18" s="54"/>
      <c r="C18" s="54"/>
      <c r="D18" s="54"/>
      <c r="E18" s="54"/>
    </row>
    <row r="19" spans="1:9" x14ac:dyDescent="0.25">
      <c r="A19" s="53"/>
      <c r="B19" s="54"/>
      <c r="C19" s="54"/>
      <c r="D19" s="54"/>
      <c r="E19" s="54"/>
    </row>
    <row r="20" spans="1:9" ht="13.5" customHeight="1" x14ac:dyDescent="0.25">
      <c r="A20" s="53"/>
      <c r="B20" s="54"/>
      <c r="C20" s="54"/>
      <c r="D20" s="54"/>
      <c r="E20" s="54"/>
    </row>
    <row r="21" spans="1:9" x14ac:dyDescent="0.25">
      <c r="A21" s="53"/>
      <c r="B21" s="54"/>
      <c r="C21" s="54"/>
      <c r="D21" s="54"/>
      <c r="E21" s="54"/>
    </row>
    <row r="22" spans="1:9" x14ac:dyDescent="0.25">
      <c r="A22" s="53"/>
      <c r="B22" s="54"/>
      <c r="C22" s="54"/>
      <c r="D22" s="54"/>
      <c r="E22" s="54"/>
    </row>
    <row r="23" spans="1:9" x14ac:dyDescent="0.25">
      <c r="A23" s="53"/>
      <c r="B23" s="54"/>
      <c r="C23" s="54"/>
      <c r="D23" s="54"/>
      <c r="E23" s="54"/>
    </row>
    <row r="24" spans="1:9" x14ac:dyDescent="0.25">
      <c r="A24" s="53"/>
      <c r="B24" s="54"/>
      <c r="C24" s="54"/>
      <c r="D24" s="54"/>
      <c r="E24" s="54"/>
    </row>
    <row r="26" spans="1:9" x14ac:dyDescent="0.25">
      <c r="B26" s="55"/>
      <c r="C26" s="55"/>
      <c r="D26" s="55"/>
      <c r="E26" s="55"/>
    </row>
    <row r="27" spans="1:9" x14ac:dyDescent="0.25">
      <c r="B27" s="55"/>
      <c r="C27" s="55"/>
      <c r="D27" s="55"/>
      <c r="E27" s="55"/>
    </row>
    <row r="28" spans="1:9" x14ac:dyDescent="0.25">
      <c r="B28" s="55"/>
      <c r="C28" s="55"/>
      <c r="D28" s="55"/>
      <c r="E28" s="55"/>
    </row>
    <row r="29" spans="1:9" x14ac:dyDescent="0.25">
      <c r="B29" s="55"/>
      <c r="C29" s="55"/>
      <c r="D29" s="55"/>
      <c r="E29" s="55"/>
    </row>
    <row r="30" spans="1:9" x14ac:dyDescent="0.25">
      <c r="B30" s="55"/>
      <c r="C30" s="55"/>
      <c r="D30" s="55"/>
      <c r="E30" s="55"/>
    </row>
    <row r="31" spans="1:9" x14ac:dyDescent="0.25">
      <c r="B31" s="55"/>
      <c r="C31" s="55"/>
      <c r="D31" s="55"/>
      <c r="E31" s="55"/>
    </row>
    <row r="32" spans="1:9" x14ac:dyDescent="0.25">
      <c r="B32" s="55"/>
      <c r="C32" s="55"/>
      <c r="D32" s="55"/>
      <c r="E32" s="55"/>
    </row>
    <row r="33" spans="2:5" x14ac:dyDescent="0.25">
      <c r="B33" s="55"/>
      <c r="C33" s="55"/>
      <c r="D33" s="55"/>
      <c r="E33" s="55"/>
    </row>
    <row r="34" spans="2:5" ht="13.5" customHeight="1" x14ac:dyDescent="0.25">
      <c r="B34" s="55"/>
      <c r="C34" s="55"/>
      <c r="D34" s="55"/>
      <c r="E34" s="55"/>
    </row>
    <row r="35" spans="2:5" x14ac:dyDescent="0.25">
      <c r="B35" s="55"/>
      <c r="C35" s="55"/>
      <c r="D35" s="55"/>
      <c r="E35" s="55"/>
    </row>
    <row r="36" spans="2:5" x14ac:dyDescent="0.25">
      <c r="B36" s="55"/>
      <c r="C36" s="55"/>
      <c r="D36" s="55"/>
      <c r="E36" s="55"/>
    </row>
    <row r="37" spans="2:5" x14ac:dyDescent="0.25">
      <c r="B37" s="55"/>
      <c r="C37" s="55"/>
      <c r="D37" s="55"/>
      <c r="E37" s="55"/>
    </row>
    <row r="38" spans="2:5" x14ac:dyDescent="0.25">
      <c r="B38" s="55"/>
      <c r="C38" s="55"/>
      <c r="D38" s="55"/>
      <c r="E38" s="55"/>
    </row>
    <row r="39" spans="2:5" x14ac:dyDescent="0.25">
      <c r="B39" s="55"/>
      <c r="C39" s="55"/>
      <c r="D39" s="55"/>
      <c r="E39" s="55"/>
    </row>
    <row r="40" spans="2:5" x14ac:dyDescent="0.25">
      <c r="B40" s="55"/>
      <c r="C40" s="55"/>
      <c r="D40" s="55"/>
      <c r="E40" s="55"/>
    </row>
    <row r="41" spans="2:5" x14ac:dyDescent="0.25">
      <c r="B41" s="55"/>
      <c r="C41" s="55"/>
      <c r="D41" s="55"/>
      <c r="E41" s="55"/>
    </row>
    <row r="42" spans="2:5" x14ac:dyDescent="0.25">
      <c r="B42" s="55"/>
      <c r="C42" s="55"/>
      <c r="D42" s="55"/>
      <c r="E42" s="55"/>
    </row>
    <row r="43" spans="2:5" x14ac:dyDescent="0.25">
      <c r="B43" s="55"/>
      <c r="C43" s="55"/>
      <c r="D43" s="55"/>
      <c r="E43" s="55"/>
    </row>
  </sheetData>
  <mergeCells count="10">
    <mergeCell ref="G15:I15"/>
    <mergeCell ref="G7:I7"/>
    <mergeCell ref="G8:G9"/>
    <mergeCell ref="H8:H9"/>
    <mergeCell ref="I8:I9"/>
    <mergeCell ref="A1:E1"/>
    <mergeCell ref="A2:E2"/>
    <mergeCell ref="B4:E4"/>
    <mergeCell ref="K8:K9"/>
    <mergeCell ref="G13:I13"/>
  </mergeCells>
  <phoneticPr fontId="1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6 MeV PDD</vt:lpstr>
      <vt:lpstr>9 MeV PDD</vt:lpstr>
      <vt:lpstr> 12-20 MeV PDD</vt:lpstr>
      <vt:lpstr>6 MeV Output</vt:lpstr>
      <vt:lpstr>9 MeV Output</vt:lpstr>
      <vt:lpstr>12 MeV Output</vt:lpstr>
      <vt:lpstr>16 MeV Output</vt:lpstr>
      <vt:lpstr>20 MeV Output</vt:lpstr>
      <vt:lpstr>6 MeV Obliquity Factors</vt:lpstr>
      <vt:lpstr>9 MeV Obliquity Factors</vt:lpstr>
      <vt:lpstr>12 MeV Obliquity Factors</vt:lpstr>
      <vt:lpstr>16 MeV Obliquity Factors</vt:lpstr>
      <vt:lpstr>20 MeV Obliquity Factors</vt:lpstr>
      <vt:lpstr>' 12-20 MeV PDD'!Print_Area</vt:lpstr>
      <vt:lpstr>'6 MeV PDD'!Print_Area</vt:lpstr>
      <vt:lpstr>'9 MeV PDD'!Print_Area</vt:lpstr>
    </vt:vector>
  </TitlesOfParts>
  <Company>Microsoft Office XP Pro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Ingrid Spadinger</dc:creator>
  <cp:lastModifiedBy>Ingrid Spadinger</cp:lastModifiedBy>
  <cp:lastPrinted>2007-04-07T21:36:08Z</cp:lastPrinted>
  <dcterms:created xsi:type="dcterms:W3CDTF">2005-08-14T17:37:43Z</dcterms:created>
  <dcterms:modified xsi:type="dcterms:W3CDTF">2022-01-20T02:01:50Z</dcterms:modified>
</cp:coreProperties>
</file>